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The Dashboard" sheetId="2" r:id="rId5"/>
    <sheet state="visible" name="Projected Schedule" sheetId="3" r:id="rId6"/>
    <sheet state="visible" name="Portfolio Details" sheetId="4" r:id="rId7"/>
    <sheet state="visible" name="Payment Matrix" sheetId="5" r:id="rId8"/>
  </sheets>
  <definedNames/>
  <calcPr/>
</workbook>
</file>

<file path=xl/sharedStrings.xml><?xml version="1.0" encoding="utf-8"?>
<sst xmlns="http://schemas.openxmlformats.org/spreadsheetml/2006/main" count="379" uniqueCount="109">
  <si>
    <r>
      <rPr>
        <rFont val="Montserrat"/>
        <b/>
        <sz val="16.0"/>
      </rPr>
      <t>📊 The Dividend Dashboard – User Instructions</t>
    </r>
    <r>
      <rPr>
        <rFont val="Montserrat"/>
      </rPr>
      <t xml:space="preserve">
</t>
    </r>
    <r>
      <rPr>
        <rFont val="Montserrat"/>
        <sz val="11.0"/>
      </rPr>
      <t>Welcome to The Dividend Dashboard. This tool gives a snapshot of dividend yield, portfolio diversification, and payment schedules. Please read the following before using the spreadsheet</t>
    </r>
    <r>
      <rPr>
        <rFont val="Montserrat"/>
      </rPr>
      <t xml:space="preserve">:
</t>
    </r>
    <r>
      <rPr>
        <rFont val="Montserrat"/>
        <b/>
        <sz val="14.0"/>
      </rPr>
      <t>🧭 Tabs Overview</t>
    </r>
    <r>
      <rPr>
        <rFont val="Montserrat"/>
      </rPr>
      <t xml:space="preserve">
</t>
    </r>
    <r>
      <rPr>
        <rFont val="Montserrat"/>
        <b/>
        <sz val="11.0"/>
      </rPr>
      <t>1. Dashboard</t>
    </r>
    <r>
      <rPr>
        <rFont val="Montserrat"/>
        <sz val="11.0"/>
      </rPr>
      <t xml:space="preserve">
View the live dividend yield </t>
    </r>
    <r>
      <rPr>
        <rFont val="Montserrat"/>
      </rPr>
      <t xml:space="preserve">
</t>
    </r>
    <r>
      <rPr>
        <rFont val="Montserrat"/>
        <b/>
        <sz val="11.0"/>
      </rPr>
      <t>2. Projected Schedule</t>
    </r>
    <r>
      <rPr>
        <rFont val="Montserrat"/>
        <sz val="11.0"/>
      </rPr>
      <t xml:space="preserve">
Displays a heatmap of dividend payments across the year, giving a rough idea of when income is expected.
</t>
    </r>
    <r>
      <rPr>
        <rFont val="Montserrat"/>
        <b/>
        <sz val="11.0"/>
      </rPr>
      <t>3. Portfolio Details</t>
    </r>
    <r>
      <rPr>
        <rFont val="Montserrat"/>
        <sz val="11.0"/>
      </rPr>
      <t xml:space="preserve">
Lists the stocks included in the dashboard.
Shows current prices, yields, and sectors for each stock represented in the pie chart.
</t>
    </r>
    <r>
      <rPr>
        <rFont val="Montserrat"/>
        <b/>
        <sz val="11.0"/>
      </rPr>
      <t>⚠️ Important Notes</t>
    </r>
    <r>
      <rPr>
        <rFont val="Montserrat"/>
        <sz val="11.0"/>
      </rPr>
      <t xml:space="preserve">
Do not request access – this will display your Google account info. Use the sheet as a viewer only.
Do not make a copy – the paid add-on features will not function in a copied version. Instead, bookmark the original and return to check the updated yield data.
</t>
    </r>
    <r>
      <rPr>
        <rFont val="Montserrat"/>
        <b/>
        <sz val="11.0"/>
      </rPr>
      <t>🎁 Bonus for New Users</t>
    </r>
    <r>
      <rPr>
        <rFont val="Montserrat"/>
        <sz val="11.0"/>
      </rPr>
      <t xml:space="preserve">
If you're new to Trading 212, </t>
    </r>
    <r>
      <rPr>
        <rFont val="Montserrat"/>
        <color rgb="FF1155CC"/>
        <sz val="11.0"/>
        <u/>
      </rPr>
      <t>click here to view the current free share promo code.</t>
    </r>
    <r>
      <rPr>
        <rFont val="Montserrat"/>
        <sz val="11.0"/>
      </rPr>
      <t xml:space="preserve"> It may be available even after opening your account.
🔧 Advanced Portfolio Tracking
This dashboard provides a basic overview. For more detailed and customizable portfolio tracking, consider using </t>
    </r>
    <r>
      <rPr>
        <rFont val="Montserrat"/>
        <color rgb="FF1155CC"/>
        <sz val="11.0"/>
        <u/>
      </rPr>
      <t>the recommended portfolio tracker</t>
    </r>
    <r>
      <rPr>
        <rFont val="Montserrat"/>
        <sz val="11.0"/>
      </rPr>
      <t xml:space="preserve">. </t>
    </r>
  </si>
  <si>
    <t>Resources</t>
  </si>
  <si>
    <t>Get Free Shares on Trading 212 (even after you opened your account)</t>
  </si>
  <si>
    <t>Watch the Full Guide to this Pie</t>
  </si>
  <si>
    <t>Read The FAQ about This Pie</t>
  </si>
  <si>
    <t>Learn More about Investing</t>
  </si>
  <si>
    <t>Join the Discord Community</t>
  </si>
  <si>
    <t>Interest on Cash vs Dividends</t>
  </si>
  <si>
    <t>Get up to £100 Welcome Bonus with InvestEngine</t>
  </si>
  <si>
    <t>The Current Yield of The Almost Daily Dividend Pie</t>
  </si>
  <si>
    <t>Get a Free Portfolio Tracker to see Precisely when the Dividends come in</t>
  </si>
  <si>
    <t>Total Payments throughout the Year</t>
  </si>
  <si>
    <t>What This Means for You</t>
  </si>
  <si>
    <t>Example Portfolio Size</t>
  </si>
  <si>
    <r>
      <rPr>
        <rFont val="Montserrat"/>
        <color theme="1"/>
        <sz val="12.0"/>
      </rPr>
      <t xml:space="preserve">Estimated </t>
    </r>
    <r>
      <rPr>
        <rFont val="Montserrat"/>
        <i/>
        <color theme="1"/>
        <sz val="12.0"/>
      </rPr>
      <t>Annual</t>
    </r>
    <r>
      <rPr>
        <rFont val="Montserrat"/>
        <color theme="1"/>
        <sz val="12.0"/>
      </rPr>
      <t xml:space="preserve"> Dividends</t>
    </r>
  </si>
  <si>
    <t>Monthly Average</t>
  </si>
  <si>
    <t>➡️</t>
  </si>
  <si>
    <t>Jan</t>
  </si>
  <si>
    <t>Feb</t>
  </si>
  <si>
    <t>Mar</t>
  </si>
  <si>
    <t>Apr</t>
  </si>
  <si>
    <t>May</t>
  </si>
  <si>
    <t>Jun</t>
  </si>
  <si>
    <t>Jul</t>
  </si>
  <si>
    <t>Aug</t>
  </si>
  <si>
    <t>Sep</t>
  </si>
  <si>
    <t>Oct</t>
  </si>
  <si>
    <t>Nov</t>
  </si>
  <si>
    <t>Dec</t>
  </si>
  <si>
    <t>ADP</t>
  </si>
  <si>
    <t>BMY</t>
  </si>
  <si>
    <t>AFL</t>
  </si>
  <si>
    <r>
      <rPr>
        <rFont val="Montserrat"/>
        <b/>
        <i/>
        <color theme="1"/>
        <sz val="11.0"/>
      </rPr>
      <t xml:space="preserve">NOTE: </t>
    </r>
    <r>
      <rPr>
        <rFont val="Montserrat"/>
        <i/>
        <color theme="1"/>
        <sz val="11.0"/>
      </rPr>
      <t>These are not likely to be the actual dates you get paid! Each year the payment dates varies, however this is rough estimate of when the companies will pay out. It might be that you get paid multiple dividends on the same day. It's also the case that there are delays between Trading 212 receiving the dividend and paying it to us</t>
    </r>
  </si>
  <si>
    <t>LOW</t>
  </si>
  <si>
    <t>GWW</t>
  </si>
  <si>
    <t>KO</t>
  </si>
  <si>
    <t>WMT</t>
  </si>
  <si>
    <t>SHW</t>
  </si>
  <si>
    <t>PNR</t>
  </si>
  <si>
    <t>KMB</t>
  </si>
  <si>
    <t>GD</t>
  </si>
  <si>
    <t>MSFT</t>
  </si>
  <si>
    <t>CNQ</t>
  </si>
  <si>
    <t>JNJ</t>
  </si>
  <si>
    <t>PEP</t>
  </si>
  <si>
    <t>MA</t>
  </si>
  <si>
    <t>SLB</t>
  </si>
  <si>
    <t>CB</t>
  </si>
  <si>
    <t>AGNC</t>
  </si>
  <si>
    <t>EMR</t>
  </si>
  <si>
    <t>IBM</t>
  </si>
  <si>
    <t>ADC</t>
  </si>
  <si>
    <t>AAPL</t>
  </si>
  <si>
    <t>CVX</t>
  </si>
  <si>
    <t>NUE</t>
  </si>
  <si>
    <t>PPG</t>
  </si>
  <si>
    <t>ITW</t>
  </si>
  <si>
    <t>MAIN</t>
  </si>
  <si>
    <t>O</t>
  </si>
  <si>
    <t>CAH</t>
  </si>
  <si>
    <t>PG</t>
  </si>
  <si>
    <t>STAG</t>
  </si>
  <si>
    <t>MCD</t>
  </si>
  <si>
    <t>ECL</t>
  </si>
  <si>
    <t>RGLD</t>
  </si>
  <si>
    <t>DUK</t>
  </si>
  <si>
    <t>ROP</t>
  </si>
  <si>
    <t>BLK</t>
  </si>
  <si>
    <t>SYY</t>
  </si>
  <si>
    <t>C</t>
  </si>
  <si>
    <t>RY</t>
  </si>
  <si>
    <t>GOOD</t>
  </si>
  <si>
    <t>SBUX</t>
  </si>
  <si>
    <t>BMO</t>
  </si>
  <si>
    <t>CSCO</t>
  </si>
  <si>
    <t>BNS</t>
  </si>
  <si>
    <t>LTC</t>
  </si>
  <si>
    <t>TD</t>
  </si>
  <si>
    <t>TROW</t>
  </si>
  <si>
    <t>JPM</t>
  </si>
  <si>
    <t>-</t>
  </si>
  <si>
    <t>Name</t>
  </si>
  <si>
    <t>Ticker</t>
  </si>
  <si>
    <t>Price</t>
  </si>
  <si>
    <t>Dividend Payment</t>
  </si>
  <si>
    <t>Dividend Yield</t>
  </si>
  <si>
    <t>Sector</t>
  </si>
  <si>
    <t>Technology</t>
  </si>
  <si>
    <t>Basic Materials</t>
  </si>
  <si>
    <t>Real Estate</t>
  </si>
  <si>
    <t>Financial Services</t>
  </si>
  <si>
    <t>Consumer Defensive</t>
  </si>
  <si>
    <t>Consumer Cyclical</t>
  </si>
  <si>
    <t>Healthcare</t>
  </si>
  <si>
    <t>Energy</t>
  </si>
  <si>
    <t>Communication Services</t>
  </si>
  <si>
    <t>Utilities</t>
  </si>
  <si>
    <t>Industrials</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</si>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</sst>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26">
    <font>
      <sz val="10.0"/>
      <color rgb="FF000000"/>
      <name val="Arial"/>
      <scheme val="minor"/>
    </font>
    <font>
      <color theme="1"/>
      <name val="Montserrat"/>
    </font>
    <font>
      <b/>
      <sz val="28.0"/>
      <color theme="1"/>
      <name val="Montserrat"/>
    </font>
    <font>
      <u/>
      <color rgb="FF0000FF"/>
      <name val="Montserrat"/>
    </font>
    <font/>
    <font>
      <b/>
      <u/>
      <sz val="11.0"/>
      <color rgb="FF0000FF"/>
      <name val="Montserrat"/>
    </font>
    <font>
      <color theme="1"/>
      <name val="Arial"/>
      <scheme val="minor"/>
    </font>
    <font>
      <b/>
      <u/>
      <sz val="13.0"/>
      <color rgb="FF0000FF"/>
      <name val="Montserrat"/>
    </font>
    <font>
      <b/>
      <u/>
      <sz val="14.0"/>
      <color rgb="FF0000FF"/>
      <name val="Montserrat"/>
    </font>
    <font>
      <b/>
      <u/>
      <sz val="13.0"/>
      <color rgb="FF0000FF"/>
      <name val="Montserrat"/>
    </font>
    <font>
      <b/>
      <u/>
      <sz val="12.0"/>
      <color rgb="FF1155CC"/>
      <name val="Montserrat"/>
    </font>
    <font>
      <b/>
      <u/>
      <sz val="12.0"/>
      <color rgb="FF0000FF"/>
      <name val="Montserrat"/>
    </font>
    <font>
      <sz val="13.0"/>
      <color theme="1"/>
      <name val="Montserrat"/>
    </font>
    <font>
      <b/>
      <u/>
      <sz val="13.0"/>
      <color rgb="FF0000FF"/>
      <name val="Montserrat"/>
    </font>
    <font>
      <b/>
      <sz val="26.0"/>
      <color theme="1"/>
      <name val="Montserrat"/>
    </font>
    <font>
      <b/>
      <sz val="14.0"/>
      <color theme="1"/>
      <name val="Montserrat"/>
    </font>
    <font>
      <b/>
      <sz val="20.0"/>
      <color theme="1"/>
      <name val="Montserrat"/>
    </font>
    <font>
      <b/>
      <sz val="16.0"/>
      <color theme="1"/>
      <name val="Montserrat"/>
    </font>
    <font>
      <sz val="12.0"/>
      <color theme="1"/>
      <name val="Montserrat"/>
    </font>
    <font>
      <b/>
      <sz val="12.0"/>
      <color theme="1"/>
      <name val="Montserrat"/>
    </font>
    <font>
      <color theme="1"/>
      <name val="Georgia"/>
    </font>
    <font>
      <b/>
      <color theme="1"/>
      <name val="Montserrat"/>
    </font>
    <font>
      <i/>
      <sz val="11.0"/>
      <color theme="1"/>
      <name val="Montserrat"/>
    </font>
    <font>
      <sz val="9.0"/>
      <color rgb="FF000000"/>
      <name val="Google Sans Mono"/>
    </font>
    <font>
      <sz val="9.0"/>
      <color rgb="FF000000"/>
      <name val="Montserrat"/>
    </font>
    <font>
      <color rgb="FF000000"/>
      <name val="Montserrat"/>
    </font>
  </fonts>
  <fills count="13">
    <fill>
      <patternFill patternType="none"/>
    </fill>
    <fill>
      <patternFill patternType="lightGray"/>
    </fill>
    <fill>
      <patternFill patternType="solid">
        <fgColor rgb="FFEFEFEF"/>
        <bgColor rgb="FFEFEFEF"/>
      </patternFill>
    </fill>
    <fill>
      <patternFill patternType="solid">
        <fgColor rgb="FFFFD966"/>
        <bgColor rgb="FFFFD966"/>
      </patternFill>
    </fill>
    <fill>
      <patternFill patternType="solid">
        <fgColor rgb="FFB7E1CD"/>
        <bgColor rgb="FFB7E1CD"/>
      </patternFill>
    </fill>
    <fill>
      <patternFill patternType="solid">
        <fgColor rgb="FFC9DBF8"/>
        <bgColor rgb="FFC9DBF8"/>
      </patternFill>
    </fill>
    <fill>
      <patternFill patternType="solid">
        <fgColor rgb="FFF4C7C3"/>
        <bgColor rgb="FFF4C7C3"/>
      </patternFill>
    </fill>
    <fill>
      <patternFill patternType="solid">
        <fgColor rgb="FFB7D7A8"/>
        <bgColor rgb="FFB7D7A8"/>
      </patternFill>
    </fill>
    <fill>
      <patternFill patternType="solid">
        <fgColor rgb="FFC9DAF8"/>
        <bgColor rgb="FFC9DAF8"/>
      </patternFill>
    </fill>
    <fill>
      <patternFill patternType="solid">
        <fgColor rgb="FFB6D7A8"/>
        <bgColor rgb="FFB6D7A8"/>
      </patternFill>
    </fill>
    <fill>
      <patternFill patternType="solid">
        <fgColor rgb="FFD9EAD3"/>
        <bgColor rgb="FFD9EAD3"/>
      </patternFill>
    </fill>
    <fill>
      <patternFill patternType="solid">
        <fgColor rgb="FFD9D9D9"/>
        <bgColor rgb="FFD9D9D9"/>
      </patternFill>
    </fill>
    <fill>
      <patternFill patternType="solid">
        <fgColor rgb="FFFFFFFF"/>
        <bgColor rgb="FFFFFFFF"/>
      </patternFill>
    </fill>
  </fills>
  <borders count="27">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thick">
        <color rgb="FF000000"/>
      </right>
      <top style="medium">
        <color rgb="FF000000"/>
      </top>
      <bottom style="medium">
        <color rgb="FF000000"/>
      </bottom>
    </border>
    <border>
      <right style="medium">
        <color rgb="FF000000"/>
      </right>
    </border>
    <border>
      <left style="medium">
        <color rgb="FF000000"/>
      </left>
      <right style="medium">
        <color rgb="FF000000"/>
      </right>
    </border>
    <border>
      <left style="medium">
        <color rgb="FF000000"/>
      </left>
      <bottom style="medium">
        <color rgb="FF000000"/>
      </bottom>
    </border>
    <border>
      <right style="medium">
        <color rgb="FF000000"/>
      </right>
      <bottom style="medium">
        <color rgb="FF000000"/>
      </bottom>
    </border>
    <border>
      <bottom style="medium">
        <color rgb="FF000000"/>
      </bottom>
    </border>
    <border>
      <left style="medium">
        <color rgb="FF000000"/>
      </left>
      <right style="medium">
        <color rgb="FF000000"/>
      </right>
      <bottom style="medium">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ont="1">
      <alignment horizontal="center" readingOrder="0" vertical="center"/>
    </xf>
    <xf borderId="1" fillId="2" fontId="3" numFmtId="0" xfId="0" applyAlignment="1" applyBorder="1" applyFont="1">
      <alignment readingOrder="0" shrinkToFit="0" vertical="center" wrapText="1"/>
    </xf>
    <xf borderId="2" fillId="0" fontId="4" numFmtId="0" xfId="0" applyBorder="1" applyFont="1"/>
    <xf borderId="3" fillId="0" fontId="4" numFmtId="0" xfId="0" applyBorder="1" applyFont="1"/>
    <xf borderId="1" fillId="2" fontId="2" numFmtId="0" xfId="0" applyAlignment="1" applyBorder="1" applyFont="1">
      <alignment horizontal="center" readingOrder="0" vertical="center"/>
    </xf>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1" fillId="3" fontId="5" numFmtId="0" xfId="0" applyAlignment="1" applyBorder="1" applyFill="1" applyFont="1">
      <alignment horizontal="center" readingOrder="0" shrinkToFit="0" vertical="center" wrapText="1"/>
    </xf>
    <xf borderId="0" fillId="0" fontId="6" numFmtId="0" xfId="0" applyAlignment="1" applyFont="1">
      <alignment horizontal="center"/>
    </xf>
    <xf borderId="1" fillId="4" fontId="7" numFmtId="0" xfId="0" applyAlignment="1" applyBorder="1" applyFill="1" applyFont="1">
      <alignment horizontal="center" readingOrder="0" shrinkToFit="0" vertical="center" wrapText="1"/>
    </xf>
    <xf borderId="1" fillId="4" fontId="8" numFmtId="0" xfId="0" applyAlignment="1" applyBorder="1" applyFont="1">
      <alignment horizontal="center" readingOrder="0" vertical="center"/>
    </xf>
    <xf borderId="1" fillId="4" fontId="9" numFmtId="0" xfId="0" applyAlignment="1" applyBorder="1" applyFont="1">
      <alignment horizontal="center" readingOrder="0" vertical="center"/>
    </xf>
    <xf borderId="1" fillId="4" fontId="10" numFmtId="0" xfId="0" applyAlignment="1" applyBorder="1" applyFont="1">
      <alignment horizontal="center" readingOrder="0" vertical="center"/>
    </xf>
    <xf borderId="1" fillId="4" fontId="11" numFmtId="0" xfId="0" applyAlignment="1" applyBorder="1" applyFont="1">
      <alignment horizontal="center" readingOrder="0" shrinkToFit="0" vertical="center" wrapText="1"/>
    </xf>
    <xf borderId="0" fillId="0" fontId="1" numFmtId="0" xfId="0" applyFont="1"/>
    <xf borderId="1" fillId="0" fontId="1" numFmtId="0" xfId="0" applyBorder="1" applyFont="1"/>
    <xf borderId="2" fillId="0" fontId="1" numFmtId="0" xfId="0" applyBorder="1" applyFont="1"/>
    <xf borderId="3" fillId="0" fontId="1" numFmtId="0" xfId="0" applyBorder="1" applyFont="1"/>
    <xf borderId="1" fillId="5" fontId="12" numFmtId="0" xfId="0" applyAlignment="1" applyBorder="1" applyFill="1" applyFont="1">
      <alignment horizontal="center" readingOrder="0" shrinkToFit="0" vertical="center" wrapText="1"/>
    </xf>
    <xf borderId="1" fillId="6" fontId="13" numFmtId="0" xfId="0" applyAlignment="1" applyBorder="1" applyFill="1" applyFont="1">
      <alignment horizontal="center" readingOrder="0" shrinkToFit="0" vertical="center" wrapText="1"/>
    </xf>
    <xf borderId="4" fillId="0" fontId="1" numFmtId="0" xfId="0" applyBorder="1" applyFont="1"/>
    <xf borderId="5" fillId="0" fontId="1" numFmtId="0" xfId="0" applyBorder="1" applyFont="1"/>
    <xf borderId="1" fillId="7" fontId="14" numFmtId="10" xfId="0" applyAlignment="1" applyBorder="1" applyFill="1" applyFont="1" applyNumberFormat="1">
      <alignment horizontal="center" vertical="center"/>
    </xf>
    <xf borderId="1" fillId="8" fontId="15" numFmtId="0" xfId="0" applyAlignment="1" applyBorder="1" applyFill="1" applyFont="1">
      <alignment horizontal="center" readingOrder="0" shrinkToFit="0" vertical="center" wrapText="1"/>
    </xf>
    <xf borderId="1" fillId="9" fontId="16" numFmtId="0" xfId="0" applyAlignment="1" applyBorder="1" applyFill="1" applyFont="1">
      <alignment horizontal="center"/>
    </xf>
    <xf borderId="9" fillId="5" fontId="17" numFmtId="0" xfId="0" applyAlignment="1" applyBorder="1" applyFont="1">
      <alignment horizontal="center" readingOrder="0"/>
    </xf>
    <xf borderId="10" fillId="0" fontId="4" numFmtId="0" xfId="0" applyBorder="1" applyFont="1"/>
    <xf borderId="11" fillId="0" fontId="4" numFmtId="0" xfId="0" applyBorder="1" applyFont="1"/>
    <xf borderId="12" fillId="10" fontId="1" numFmtId="0" xfId="0" applyBorder="1" applyFill="1" applyFont="1"/>
    <xf borderId="0" fillId="10" fontId="1" numFmtId="0" xfId="0" applyFont="1"/>
    <xf borderId="5" fillId="10" fontId="1" numFmtId="0" xfId="0" applyBorder="1" applyFont="1"/>
    <xf borderId="13" fillId="10" fontId="18" numFmtId="0" xfId="0" applyAlignment="1" applyBorder="1" applyFont="1">
      <alignment horizontal="center" readingOrder="0" vertical="center"/>
    </xf>
    <xf borderId="14" fillId="0" fontId="4" numFmtId="0" xfId="0" applyBorder="1" applyFont="1"/>
    <xf borderId="15" fillId="0" fontId="4" numFmtId="0" xfId="0" applyBorder="1" applyFont="1"/>
    <xf borderId="16" fillId="10" fontId="18" numFmtId="0" xfId="0" applyAlignment="1" applyBorder="1" applyFont="1">
      <alignment horizontal="center" readingOrder="0" vertical="center"/>
    </xf>
    <xf borderId="17" fillId="10" fontId="1" numFmtId="0" xfId="0" applyBorder="1" applyFont="1"/>
    <xf borderId="18" fillId="10" fontId="1" numFmtId="0" xfId="0" applyBorder="1" applyFont="1"/>
    <xf borderId="6" fillId="0" fontId="1" numFmtId="0" xfId="0" applyBorder="1" applyFont="1"/>
    <xf borderId="7" fillId="0" fontId="1" numFmtId="0" xfId="0" applyBorder="1" applyFont="1"/>
    <xf borderId="8" fillId="0" fontId="1" numFmtId="0" xfId="0" applyBorder="1" applyFont="1"/>
    <xf borderId="12" fillId="10" fontId="19" numFmtId="164" xfId="0" applyAlignment="1" applyBorder="1" applyFont="1" applyNumberFormat="1">
      <alignment horizontal="center" readingOrder="0" vertical="center"/>
    </xf>
    <xf borderId="17" fillId="0" fontId="4" numFmtId="0" xfId="0" applyBorder="1" applyFont="1"/>
    <xf borderId="0" fillId="10" fontId="18" numFmtId="0" xfId="0" applyAlignment="1" applyFont="1">
      <alignment horizontal="center" readingOrder="0"/>
    </xf>
    <xf borderId="12" fillId="10" fontId="19" numFmtId="164" xfId="0" applyAlignment="1" applyBorder="1" applyFont="1" applyNumberFormat="1">
      <alignment horizontal="center"/>
    </xf>
    <xf borderId="18" fillId="10" fontId="19" numFmtId="164" xfId="0" applyAlignment="1" applyBorder="1" applyFont="1" applyNumberFormat="1">
      <alignment horizontal="center"/>
    </xf>
    <xf borderId="12" fillId="10" fontId="19" numFmtId="0" xfId="0" applyAlignment="1" applyBorder="1" applyFont="1">
      <alignment horizontal="center"/>
    </xf>
    <xf borderId="17" fillId="10" fontId="19" numFmtId="0" xfId="0" applyAlignment="1" applyBorder="1" applyFont="1">
      <alignment horizontal="center"/>
    </xf>
    <xf borderId="12" fillId="10" fontId="18" numFmtId="0" xfId="0" applyBorder="1" applyFont="1"/>
    <xf borderId="0" fillId="10" fontId="19" numFmtId="164" xfId="0" applyAlignment="1" applyFont="1" applyNumberFormat="1">
      <alignment horizontal="center"/>
    </xf>
    <xf borderId="17" fillId="10" fontId="18" numFmtId="0" xfId="0" applyBorder="1" applyFont="1"/>
    <xf borderId="18" fillId="10" fontId="19" numFmtId="0" xfId="0" applyAlignment="1" applyBorder="1" applyFont="1">
      <alignment horizontal="center"/>
    </xf>
    <xf borderId="12" fillId="10" fontId="19" numFmtId="164" xfId="0" applyAlignment="1" applyBorder="1" applyFont="1" applyNumberFormat="1">
      <alignment horizontal="center" readingOrder="0"/>
    </xf>
    <xf borderId="19" fillId="10" fontId="1" numFmtId="0" xfId="0" applyBorder="1" applyFont="1"/>
    <xf borderId="20" fillId="10" fontId="1" numFmtId="0" xfId="0" applyBorder="1" applyFont="1"/>
    <xf borderId="7" fillId="10" fontId="1" numFmtId="0" xfId="0" applyBorder="1" applyFont="1"/>
    <xf borderId="21" fillId="10" fontId="1" numFmtId="0" xfId="0" applyBorder="1" applyFont="1"/>
    <xf borderId="22" fillId="10" fontId="1" numFmtId="0" xfId="0" applyBorder="1" applyFont="1"/>
    <xf borderId="0" fillId="0" fontId="20" numFmtId="0" xfId="0" applyAlignment="1" applyFont="1">
      <alignment vertical="bottom"/>
    </xf>
    <xf borderId="7" fillId="0" fontId="21" numFmtId="0" xfId="0" applyAlignment="1" applyBorder="1" applyFont="1">
      <alignment horizontal="center" vertical="bottom"/>
    </xf>
    <xf borderId="5" fillId="0" fontId="21" numFmtId="0" xfId="0" applyAlignment="1" applyBorder="1" applyFont="1">
      <alignment horizontal="right" vertical="bottom"/>
    </xf>
    <xf borderId="23" fillId="4" fontId="1" numFmtId="0" xfId="0" applyAlignment="1" applyBorder="1" applyFont="1">
      <alignment horizontal="center" vertical="bottom"/>
    </xf>
    <xf borderId="24" fillId="4" fontId="1" numFmtId="0" xfId="0" applyAlignment="1" applyBorder="1" applyFont="1">
      <alignment horizontal="center" vertical="bottom"/>
    </xf>
    <xf borderId="24" fillId="6" fontId="20" numFmtId="0" xfId="0" applyAlignment="1" applyBorder="1" applyFont="1">
      <alignment vertical="bottom"/>
    </xf>
    <xf borderId="1" fillId="0" fontId="22" numFmtId="0" xfId="0" applyAlignment="1" applyBorder="1" applyFont="1">
      <alignment horizontal="center" shrinkToFit="0" vertical="center" wrapText="1"/>
    </xf>
    <xf borderId="25" fillId="6" fontId="20" numFmtId="0" xfId="0" applyAlignment="1" applyBorder="1" applyFont="1">
      <alignment vertical="bottom"/>
    </xf>
    <xf borderId="26" fillId="4" fontId="1" numFmtId="0" xfId="0" applyAlignment="1" applyBorder="1" applyFont="1">
      <alignment horizontal="center" vertical="bottom"/>
    </xf>
    <xf borderId="26" fillId="6" fontId="20" numFmtId="0" xfId="0" applyAlignment="1" applyBorder="1" applyFont="1">
      <alignment vertical="bottom"/>
    </xf>
    <xf borderId="25" fillId="4" fontId="1" numFmtId="0" xfId="0" applyAlignment="1" applyBorder="1" applyFont="1">
      <alignment horizontal="center" vertical="bottom"/>
    </xf>
    <xf borderId="0" fillId="6" fontId="20" numFmtId="0" xfId="0" applyAlignment="1" applyFont="1">
      <alignment vertical="bottom"/>
    </xf>
    <xf borderId="26" fillId="11" fontId="1" numFmtId="0" xfId="0" applyAlignment="1" applyBorder="1" applyFill="1" applyFont="1">
      <alignment horizontal="center" vertical="bottom"/>
    </xf>
    <xf borderId="0" fillId="0" fontId="20" numFmtId="0" xfId="0" applyAlignment="1" applyFont="1">
      <alignment horizontal="right" vertical="bottom"/>
    </xf>
    <xf borderId="0" fillId="0" fontId="21" numFmtId="0" xfId="0" applyAlignment="1" applyFont="1">
      <alignment vertical="bottom"/>
    </xf>
    <xf borderId="0" fillId="0" fontId="21" numFmtId="0" xfId="0" applyAlignment="1" applyFont="1">
      <alignment horizontal="right" vertical="bottom"/>
    </xf>
    <xf borderId="0" fillId="12" fontId="23" numFmtId="0" xfId="0" applyAlignment="1" applyFill="1" applyFont="1">
      <alignment vertical="bottom"/>
    </xf>
    <xf borderId="0" fillId="0" fontId="1" numFmtId="0" xfId="0" applyAlignment="1" applyFont="1">
      <alignment vertical="bottom"/>
    </xf>
    <xf borderId="0" fillId="0" fontId="1" numFmtId="0" xfId="0" applyAlignment="1" applyFont="1">
      <alignment horizontal="right" vertical="bottom"/>
    </xf>
    <xf borderId="0" fillId="12" fontId="23" numFmtId="10" xfId="0" applyAlignment="1" applyFont="1" applyNumberFormat="1">
      <alignment horizontal="right" vertical="bottom"/>
    </xf>
    <xf borderId="0" fillId="0" fontId="6" numFmtId="0" xfId="0" applyAlignment="1" applyFont="1">
      <alignment horizontal="right"/>
    </xf>
    <xf borderId="0" fillId="0" fontId="1" numFmtId="0" xfId="0" applyAlignment="1" applyFont="1">
      <alignment horizontal="center" vertical="bottom"/>
    </xf>
    <xf borderId="0" fillId="0" fontId="20" numFmtId="0" xfId="0" applyAlignment="1" applyFont="1">
      <alignment horizontal="center" vertical="bottom"/>
    </xf>
    <xf borderId="0" fillId="0" fontId="1" numFmtId="0" xfId="0" applyAlignment="1" applyFont="1">
      <alignment horizontal="center" readingOrder="0" vertical="bottom"/>
    </xf>
    <xf borderId="0" fillId="12" fontId="24" numFmtId="0" xfId="0" applyAlignment="1" applyFont="1">
      <alignment horizontal="center" vertical="bottom"/>
    </xf>
    <xf borderId="0" fillId="0" fontId="1" numFmtId="0" xfId="0" applyAlignment="1" applyFont="1">
      <alignment horizontal="center" vertical="bottom"/>
    </xf>
    <xf borderId="0" fillId="0" fontId="25" numFmtId="0" xfId="0" applyAlignment="1" applyFont="1">
      <alignment horizontal="center" readingOrder="0" vertical="bottom"/>
    </xf>
    <xf borderId="0" fillId="0" fontId="25" numFmtId="0" xfId="0" applyAlignment="1" applyFont="1">
      <alignment horizontal="center" vertical="bottom"/>
    </xf>
    <xf borderId="0" fillId="12" fontId="24" numFmtId="0" xfId="0" applyAlignment="1" applyFont="1">
      <alignment horizontal="center" readingOrder="0" vertical="bottom"/>
    </xf>
    <xf borderId="0" fillId="12" fontId="20" numFmtId="0" xfId="0" applyAlignment="1" applyFont="1">
      <alignment horizontal="center" vertical="bottom"/>
    </xf>
    <xf borderId="0" fillId="0" fontId="23" numFmtId="0" xfId="0" applyAlignment="1" applyFont="1">
      <alignment horizontal="center" readingOrder="0" vertical="bottom"/>
    </xf>
    <xf borderId="0" fillId="0" fontId="25" numFmtId="0" xfId="0" applyAlignment="1" applyFont="1">
      <alignment horizontal="center" vertical="bottom"/>
    </xf>
    <xf borderId="0" fillId="12" fontId="25" numFmtId="0" xfId="0" applyAlignment="1" applyFont="1">
      <alignment horizontal="center" readingOrder="0" vertical="bottom"/>
    </xf>
    <xf borderId="0" fillId="0" fontId="24"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1C4587"/>
              </a:solidFill>
              <a:ln cmpd="sng" w="9525">
                <a:solidFill>
                  <a:srgbClr val="000000"/>
                </a:solidFill>
              </a:ln>
            </c:spPr>
          </c:dPt>
          <c:dPt>
            <c:idx val="1"/>
            <c:spPr>
              <a:solidFill>
                <a:srgbClr val="1155CC"/>
              </a:solidFill>
              <a:ln cmpd="sng" w="9525">
                <a:solidFill>
                  <a:srgbClr val="000000"/>
                </a:solidFill>
              </a:ln>
            </c:spPr>
          </c:dPt>
          <c:dPt>
            <c:idx val="2"/>
            <c:spPr>
              <a:solidFill>
                <a:srgbClr val="3C78D8"/>
              </a:solidFill>
              <a:ln cmpd="sng" w="9525">
                <a:solidFill>
                  <a:srgbClr val="000000"/>
                </a:solidFill>
              </a:ln>
            </c:spPr>
          </c:dPt>
          <c:dPt>
            <c:idx val="3"/>
            <c:spPr>
              <a:solidFill>
                <a:srgbClr val="6D9EEB"/>
              </a:solidFill>
              <a:ln cmpd="sng" w="9525">
                <a:solidFill>
                  <a:srgbClr val="000000"/>
                </a:solidFill>
              </a:ln>
            </c:spPr>
          </c:dPt>
          <c:dPt>
            <c:idx val="4"/>
            <c:spPr>
              <a:solidFill>
                <a:srgbClr val="A4C2F4"/>
              </a:solidFill>
              <a:ln cmpd="sng" w="9525">
                <a:solidFill>
                  <a:srgbClr val="000000"/>
                </a:solidFill>
              </a:ln>
            </c:spPr>
          </c:dPt>
          <c:dPt>
            <c:idx val="5"/>
            <c:spPr>
              <a:solidFill>
                <a:srgbClr val="C9DAF8"/>
              </a:solidFill>
              <a:ln cmpd="sng" w="9525">
                <a:solidFill>
                  <a:srgbClr val="000000"/>
                </a:solidFill>
              </a:ln>
            </c:spPr>
          </c:dPt>
          <c:dPt>
            <c:idx val="6"/>
            <c:spPr>
              <a:solidFill>
                <a:srgbClr val="6FA8DC"/>
              </a:solidFill>
              <a:ln cmpd="sng" w="9525">
                <a:solidFill>
                  <a:srgbClr val="000000"/>
                </a:solidFill>
              </a:ln>
            </c:spPr>
          </c:dPt>
          <c:dPt>
            <c:idx val="7"/>
            <c:spPr>
              <a:solidFill>
                <a:srgbClr val="93C47D"/>
              </a:solidFill>
              <a:ln cmpd="sng" w="9525">
                <a:solidFill>
                  <a:srgbClr val="000000"/>
                </a:solidFill>
              </a:ln>
            </c:spPr>
          </c:dPt>
          <c:dPt>
            <c:idx val="8"/>
            <c:spPr>
              <a:solidFill>
                <a:srgbClr val="FCD04F"/>
              </a:solidFill>
              <a:ln cmpd="sng" w="9525">
                <a:solidFill>
                  <a:srgbClr val="000000"/>
                </a:solidFill>
              </a:ln>
            </c:spPr>
          </c:dPt>
          <c:dPt>
            <c:idx val="9"/>
            <c:spPr>
              <a:solidFill>
                <a:srgbClr val="6AA84F"/>
              </a:solidFill>
              <a:ln cmpd="sng" w="9525">
                <a:solidFill>
                  <a:srgbClr val="000000"/>
                </a:solidFill>
              </a:ln>
            </c:spPr>
          </c:dPt>
          <c:dPt>
            <c:idx val="10"/>
            <c:spPr>
              <a:solidFill>
                <a:srgbClr val="38761D"/>
              </a:solidFill>
              <a:ln cmpd="sng" w="9525">
                <a:solidFill>
                  <a:srgbClr val="000000"/>
                </a:solidFill>
              </a:ln>
            </c:spPr>
          </c:dPt>
          <c:dPt>
            <c:idx val="11"/>
          </c:dPt>
          <c:dLbls>
            <c:showLegendKey val="0"/>
            <c:showVal val="0"/>
            <c:showCatName val="0"/>
            <c:showSerName val="0"/>
            <c:showPercent val="0"/>
            <c:showBubbleSize val="0"/>
            <c:showLeaderLines val="1"/>
          </c:dLbls>
          <c:cat>
            <c:strRef>
              <c:f>'Portfolio Details'!$E$55:$E$65</c:f>
            </c:strRef>
          </c:cat>
          <c:val>
            <c:numRef>
              <c:f>'Portfolio Details'!$F$55:$F$66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200">
              <a:solidFill>
                <a:srgbClr val="1A1A1A"/>
              </a:solidFill>
              <a:latin typeface="Tahoma"/>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'Payment Matrix'!$C$1:$N$1</c:f>
            </c:strRef>
          </c:cat>
          <c:val>
            <c:numRef>
              <c:f>'Payment Matrix'!$C$2:$N$2</c:f>
              <c:numCache/>
            </c:numRef>
          </c:val>
        </c:ser>
        <c:axId val="228469514"/>
        <c:axId val="1853790658"/>
      </c:barChart>
      <c:catAx>
        <c:axId val="2284695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53790658"/>
      </c:catAx>
      <c:valAx>
        <c:axId val="18537906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28469514"/>
        <c:minorUnit val="1.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7</xdr:row>
      <xdr:rowOff>0</xdr:rowOff>
    </xdr:from>
    <xdr:ext cx="2286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xdr:colOff>
      <xdr:row>0</xdr:row>
      <xdr:rowOff>104775</xdr:rowOff>
    </xdr:from>
    <xdr:ext cx="4762500" cy="2952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47625</xdr:colOff>
      <xdr:row>16</xdr:row>
      <xdr:rowOff>9525</xdr:rowOff>
    </xdr:from>
    <xdr:ext cx="4695825" cy="31718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hedividendexperiment.com/trading-212-promo-code/" TargetMode="External"/><Relationship Id="rId2" Type="http://schemas.openxmlformats.org/officeDocument/2006/relationships/hyperlink" Target="https://thedividendexperiment.com/trading-212-promo-code/" TargetMode="External"/><Relationship Id="rId3" Type="http://schemas.openxmlformats.org/officeDocument/2006/relationships/hyperlink" Target="https://youtu.be/83OkwKg8wvg?si=Gc4jqQ9svs4jtED9" TargetMode="External"/><Relationship Id="rId4" Type="http://schemas.openxmlformats.org/officeDocument/2006/relationships/hyperlink" Target="https://thedividendexperiment.com/the-almost-daily-dividends-portfolio/" TargetMode="External"/><Relationship Id="rId9" Type="http://schemas.openxmlformats.org/officeDocument/2006/relationships/drawing" Target="../drawings/drawing1.xml"/><Relationship Id="rId5" Type="http://schemas.openxmlformats.org/officeDocument/2006/relationships/hyperlink" Target="https://www.thedividendacademy.com/" TargetMode="External"/><Relationship Id="rId6" Type="http://schemas.openxmlformats.org/officeDocument/2006/relationships/hyperlink" Target="https://www.thedividendacademy.com/community" TargetMode="External"/><Relationship Id="rId7" Type="http://schemas.openxmlformats.org/officeDocument/2006/relationships/hyperlink" Target="https://youtu.be/48K5SOdUzwg" TargetMode="External"/><Relationship Id="rId8" Type="http://schemas.openxmlformats.org/officeDocument/2006/relationships/hyperlink" Target="https://thedividendexperiment.com/investengine-promo-offe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qhkv6trk.com/cmp/5S8TSH/HXP6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s>
  <sheetData>
    <row r="1" ht="9.0" customHeight="1">
      <c r="B1" s="1"/>
      <c r="C1" s="1"/>
      <c r="D1" s="1"/>
      <c r="E1" s="1"/>
      <c r="F1" s="1"/>
      <c r="H1" s="2"/>
      <c r="I1" s="2"/>
      <c r="J1" s="2"/>
    </row>
    <row r="2" ht="9.0" customHeight="1">
      <c r="B2" s="3" t="s">
        <v>0</v>
      </c>
      <c r="C2" s="4"/>
      <c r="D2" s="4"/>
      <c r="E2" s="4"/>
      <c r="F2" s="5"/>
      <c r="H2" s="6" t="s">
        <v>1</v>
      </c>
      <c r="I2" s="4"/>
      <c r="J2" s="5"/>
    </row>
    <row r="3">
      <c r="B3" s="7"/>
      <c r="F3" s="8"/>
      <c r="H3" s="7"/>
      <c r="J3" s="8"/>
    </row>
    <row r="4">
      <c r="B4" s="7"/>
      <c r="F4" s="8"/>
      <c r="H4" s="7"/>
      <c r="J4" s="8"/>
    </row>
    <row r="5">
      <c r="B5" s="7"/>
      <c r="F5" s="8"/>
      <c r="H5" s="9"/>
      <c r="I5" s="10"/>
      <c r="J5" s="11"/>
    </row>
    <row r="6">
      <c r="B6" s="7"/>
      <c r="F6" s="8"/>
    </row>
    <row r="7">
      <c r="B7" s="7"/>
      <c r="F7" s="8"/>
    </row>
    <row r="8">
      <c r="B8" s="7"/>
      <c r="F8" s="8"/>
      <c r="H8" s="12" t="s">
        <v>2</v>
      </c>
      <c r="I8" s="4"/>
      <c r="J8" s="5"/>
      <c r="K8" s="13"/>
    </row>
    <row r="9">
      <c r="B9" s="7"/>
      <c r="F9" s="8"/>
      <c r="H9" s="7"/>
      <c r="J9" s="8"/>
    </row>
    <row r="10">
      <c r="B10" s="7"/>
      <c r="F10" s="8"/>
      <c r="H10" s="9"/>
      <c r="I10" s="10"/>
      <c r="J10" s="11"/>
    </row>
    <row r="11">
      <c r="B11" s="7"/>
      <c r="F11" s="8"/>
    </row>
    <row r="12">
      <c r="B12" s="7"/>
      <c r="F12" s="8"/>
      <c r="H12" s="14" t="s">
        <v>3</v>
      </c>
      <c r="I12" s="4"/>
      <c r="J12" s="5"/>
    </row>
    <row r="13">
      <c r="B13" s="7"/>
      <c r="F13" s="8"/>
      <c r="H13" s="9"/>
      <c r="I13" s="10"/>
      <c r="J13" s="11"/>
    </row>
    <row r="14">
      <c r="B14" s="7"/>
      <c r="F14" s="8"/>
    </row>
    <row r="15">
      <c r="B15" s="7"/>
      <c r="F15" s="8"/>
      <c r="H15" s="15" t="s">
        <v>4</v>
      </c>
      <c r="I15" s="4"/>
      <c r="J15" s="5"/>
    </row>
    <row r="16">
      <c r="B16" s="7"/>
      <c r="F16" s="8"/>
      <c r="H16" s="9"/>
      <c r="I16" s="10"/>
      <c r="J16" s="11"/>
    </row>
    <row r="17">
      <c r="B17" s="7"/>
      <c r="F17" s="8"/>
    </row>
    <row r="18">
      <c r="B18" s="7"/>
      <c r="F18" s="8"/>
    </row>
    <row r="19">
      <c r="B19" s="7"/>
      <c r="F19" s="8"/>
      <c r="H19" s="16" t="s">
        <v>5</v>
      </c>
      <c r="I19" s="4"/>
      <c r="J19" s="5"/>
    </row>
    <row r="20">
      <c r="B20" s="7"/>
      <c r="F20" s="8"/>
      <c r="H20" s="9"/>
      <c r="I20" s="10"/>
      <c r="J20" s="11"/>
    </row>
    <row r="21">
      <c r="B21" s="7"/>
      <c r="F21" s="8"/>
    </row>
    <row r="22">
      <c r="B22" s="7"/>
      <c r="F22" s="8"/>
    </row>
    <row r="23">
      <c r="B23" s="7"/>
      <c r="F23" s="8"/>
      <c r="H23" s="16" t="s">
        <v>6</v>
      </c>
      <c r="I23" s="4"/>
      <c r="J23" s="5"/>
    </row>
    <row r="24">
      <c r="B24" s="7"/>
      <c r="F24" s="8"/>
      <c r="H24" s="9"/>
      <c r="I24" s="10"/>
      <c r="J24" s="11"/>
    </row>
    <row r="25">
      <c r="B25" s="7"/>
      <c r="F25" s="8"/>
    </row>
    <row r="26">
      <c r="B26" s="7"/>
      <c r="F26" s="8"/>
    </row>
    <row r="27">
      <c r="B27" s="7"/>
      <c r="F27" s="8"/>
      <c r="H27" s="17" t="s">
        <v>7</v>
      </c>
      <c r="I27" s="4"/>
      <c r="J27" s="5"/>
    </row>
    <row r="28">
      <c r="B28" s="7"/>
      <c r="F28" s="8"/>
      <c r="H28" s="9"/>
      <c r="I28" s="10"/>
      <c r="J28" s="11"/>
    </row>
    <row r="29">
      <c r="B29" s="7"/>
      <c r="F29" s="8"/>
    </row>
    <row r="30">
      <c r="B30" s="7"/>
      <c r="F30" s="8"/>
    </row>
    <row r="31">
      <c r="B31" s="7"/>
      <c r="F31" s="8"/>
    </row>
    <row r="32">
      <c r="B32" s="7"/>
      <c r="F32" s="8"/>
    </row>
    <row r="33">
      <c r="B33" s="7"/>
      <c r="F33" s="8"/>
      <c r="H33" s="18" t="s">
        <v>8</v>
      </c>
      <c r="I33" s="4"/>
      <c r="J33" s="5"/>
    </row>
    <row r="34">
      <c r="B34" s="9"/>
      <c r="C34" s="10"/>
      <c r="D34" s="10"/>
      <c r="E34" s="10"/>
      <c r="F34" s="11"/>
      <c r="H34" s="9"/>
      <c r="I34" s="10"/>
      <c r="J34" s="11"/>
    </row>
  </sheetData>
  <mergeCells count="11">
    <mergeCell ref="H23:J24"/>
    <mergeCell ref="H27:J28"/>
    <mergeCell ref="H30:J31"/>
    <mergeCell ref="H33:J34"/>
    <mergeCell ref="B2:F34"/>
    <mergeCell ref="H2:J5"/>
    <mergeCell ref="H8:J10"/>
    <mergeCell ref="K8:K10"/>
    <mergeCell ref="H12:J13"/>
    <mergeCell ref="H15:J16"/>
    <mergeCell ref="H19:J20"/>
  </mergeCells>
  <hyperlinks>
    <hyperlink r:id="rId1" ref="B2"/>
    <hyperlink r:id="rId2" ref="H8"/>
    <hyperlink r:id="rId3" ref="H12"/>
    <hyperlink r:id="rId4" ref="H15"/>
    <hyperlink r:id="rId5" ref="H19"/>
    <hyperlink r:id="rId6" ref="H23"/>
    <hyperlink r:id="rId7" ref="H27"/>
    <hyperlink r:id="rId8" ref="H33"/>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5" max="5" width="4.88"/>
    <col customWidth="1" min="6" max="6" width="15.13"/>
    <col customWidth="1" min="7" max="7" width="10.63"/>
    <col customWidth="1" min="8" max="8" width="3.75"/>
    <col customWidth="1" min="9" max="9" width="18.5"/>
    <col customWidth="1" min="10" max="10" width="4.75"/>
  </cols>
  <sheetData>
    <row r="1">
      <c r="A1" s="19"/>
      <c r="B1" s="19"/>
      <c r="C1" s="19"/>
      <c r="D1" s="19"/>
      <c r="E1" s="19"/>
      <c r="F1" s="19"/>
      <c r="G1" s="19"/>
      <c r="H1" s="19"/>
      <c r="I1" s="19"/>
      <c r="J1" s="19"/>
      <c r="K1" s="20"/>
      <c r="L1" s="21"/>
      <c r="M1" s="21"/>
      <c r="N1" s="21"/>
      <c r="O1" s="22"/>
      <c r="P1" s="19"/>
      <c r="Q1" s="19"/>
      <c r="R1" s="19"/>
      <c r="S1" s="19"/>
      <c r="T1" s="19"/>
      <c r="U1" s="19"/>
      <c r="V1" s="19"/>
      <c r="W1" s="19"/>
      <c r="X1" s="19"/>
      <c r="Y1" s="19"/>
      <c r="Z1" s="19"/>
    </row>
    <row r="2">
      <c r="A2" s="19"/>
      <c r="B2" s="23" t="s">
        <v>9</v>
      </c>
      <c r="C2" s="4"/>
      <c r="D2" s="5"/>
      <c r="E2" s="19"/>
      <c r="F2" s="24" t="s">
        <v>10</v>
      </c>
      <c r="G2" s="4"/>
      <c r="H2" s="4"/>
      <c r="I2" s="5"/>
      <c r="J2" s="19"/>
      <c r="K2" s="25"/>
      <c r="L2" s="19"/>
      <c r="M2" s="19"/>
      <c r="N2" s="19"/>
      <c r="O2" s="26"/>
      <c r="P2" s="19"/>
      <c r="Q2" s="19"/>
      <c r="R2" s="19"/>
      <c r="S2" s="19"/>
      <c r="T2" s="19"/>
      <c r="U2" s="19"/>
      <c r="V2" s="19"/>
      <c r="W2" s="19"/>
      <c r="X2" s="19"/>
      <c r="Y2" s="19"/>
      <c r="Z2" s="19"/>
    </row>
    <row r="3">
      <c r="A3" s="19"/>
      <c r="B3" s="7"/>
      <c r="D3" s="8"/>
      <c r="E3" s="19"/>
      <c r="F3" s="7"/>
      <c r="I3" s="8"/>
      <c r="J3" s="19"/>
      <c r="K3" s="25"/>
      <c r="L3" s="19"/>
      <c r="M3" s="19"/>
      <c r="N3" s="19"/>
      <c r="O3" s="26"/>
      <c r="P3" s="19"/>
      <c r="Q3" s="19"/>
      <c r="R3" s="19"/>
      <c r="S3" s="19"/>
      <c r="T3" s="19"/>
      <c r="U3" s="19"/>
      <c r="V3" s="19"/>
      <c r="W3" s="19"/>
      <c r="X3" s="19"/>
      <c r="Y3" s="19"/>
      <c r="Z3" s="19"/>
    </row>
    <row r="4">
      <c r="A4" s="19"/>
      <c r="B4" s="9"/>
      <c r="C4" s="10"/>
      <c r="D4" s="11"/>
      <c r="E4" s="19"/>
      <c r="F4" s="7"/>
      <c r="I4" s="8"/>
      <c r="J4" s="19"/>
      <c r="K4" s="25"/>
      <c r="L4" s="19"/>
      <c r="M4" s="19"/>
      <c r="N4" s="19"/>
      <c r="O4" s="26"/>
      <c r="P4" s="19"/>
      <c r="Q4" s="19"/>
      <c r="R4" s="19"/>
      <c r="S4" s="19"/>
      <c r="T4" s="19"/>
      <c r="U4" s="19"/>
      <c r="V4" s="19"/>
      <c r="W4" s="19"/>
      <c r="X4" s="19"/>
      <c r="Y4" s="19"/>
      <c r="Z4" s="19"/>
    </row>
    <row r="5">
      <c r="A5" s="19"/>
      <c r="B5" s="27">
        <f>AVERAGE('Portfolio Details'!E3:E52)</f>
        <v>0.03151000014</v>
      </c>
      <c r="C5" s="4"/>
      <c r="D5" s="5"/>
      <c r="E5" s="19"/>
      <c r="F5" s="7"/>
      <c r="I5" s="8"/>
      <c r="J5" s="19"/>
      <c r="K5" s="25"/>
      <c r="L5" s="19"/>
      <c r="M5" s="19"/>
      <c r="N5" s="19"/>
      <c r="O5" s="26"/>
      <c r="P5" s="19"/>
      <c r="Q5" s="19"/>
      <c r="R5" s="19"/>
      <c r="S5" s="19"/>
      <c r="T5" s="19"/>
      <c r="U5" s="19"/>
      <c r="V5" s="19"/>
      <c r="W5" s="19"/>
      <c r="X5" s="19"/>
      <c r="Y5" s="19"/>
      <c r="Z5" s="19"/>
    </row>
    <row r="6">
      <c r="A6" s="19"/>
      <c r="B6" s="9"/>
      <c r="C6" s="10"/>
      <c r="D6" s="11"/>
      <c r="E6" s="19"/>
      <c r="F6" s="9"/>
      <c r="G6" s="10"/>
      <c r="H6" s="10"/>
      <c r="I6" s="11"/>
      <c r="J6" s="19"/>
      <c r="K6" s="25"/>
      <c r="L6" s="19"/>
      <c r="M6" s="19"/>
      <c r="N6" s="19"/>
      <c r="O6" s="26"/>
      <c r="P6" s="19"/>
      <c r="Q6" s="19"/>
      <c r="R6" s="19"/>
      <c r="S6" s="19"/>
      <c r="T6" s="19"/>
      <c r="U6" s="19"/>
      <c r="V6" s="19"/>
      <c r="W6" s="19"/>
      <c r="X6" s="19"/>
      <c r="Y6" s="19"/>
      <c r="Z6" s="19"/>
    </row>
    <row r="7">
      <c r="A7" s="19"/>
      <c r="B7" s="19"/>
      <c r="C7" s="19"/>
      <c r="D7" s="19"/>
      <c r="E7" s="19"/>
      <c r="F7" s="19"/>
      <c r="G7" s="19"/>
      <c r="H7" s="19"/>
      <c r="I7" s="19"/>
      <c r="J7" s="19"/>
      <c r="K7" s="25"/>
      <c r="L7" s="19"/>
      <c r="M7" s="19"/>
      <c r="N7" s="19"/>
      <c r="O7" s="26"/>
      <c r="P7" s="19"/>
      <c r="Q7" s="19"/>
      <c r="R7" s="19"/>
      <c r="S7" s="19"/>
      <c r="T7" s="19"/>
      <c r="U7" s="19"/>
      <c r="V7" s="19"/>
      <c r="W7" s="19"/>
      <c r="X7" s="19"/>
      <c r="Y7" s="19"/>
      <c r="Z7" s="19"/>
    </row>
    <row r="8">
      <c r="A8" s="19"/>
      <c r="B8" s="19"/>
      <c r="C8" s="19"/>
      <c r="D8" s="19"/>
      <c r="E8" s="19"/>
      <c r="F8" s="19"/>
      <c r="G8" s="19"/>
      <c r="H8" s="19"/>
      <c r="I8" s="19"/>
      <c r="J8" s="19"/>
      <c r="K8" s="25"/>
      <c r="L8" s="19"/>
      <c r="M8" s="19"/>
      <c r="N8" s="19"/>
      <c r="O8" s="26"/>
      <c r="P8" s="19"/>
      <c r="Q8" s="19"/>
      <c r="R8" s="19"/>
      <c r="S8" s="19"/>
      <c r="T8" s="19"/>
      <c r="U8" s="19"/>
      <c r="V8" s="19"/>
      <c r="W8" s="19"/>
      <c r="X8" s="19"/>
      <c r="Y8" s="19"/>
      <c r="Z8" s="19"/>
    </row>
    <row r="9">
      <c r="A9" s="19"/>
      <c r="B9" s="28" t="s">
        <v>11</v>
      </c>
      <c r="C9" s="4"/>
      <c r="D9" s="4"/>
      <c r="E9" s="4"/>
      <c r="F9" s="4"/>
      <c r="G9" s="4"/>
      <c r="H9" s="29">
        <f>sum('Payment Matrix'!C3:N52)</f>
        <v>256</v>
      </c>
      <c r="I9" s="5"/>
      <c r="J9" s="19"/>
      <c r="K9" s="25"/>
      <c r="L9" s="19"/>
      <c r="M9" s="19"/>
      <c r="N9" s="19"/>
      <c r="O9" s="26"/>
      <c r="P9" s="19"/>
      <c r="Q9" s="19"/>
      <c r="R9" s="19"/>
      <c r="S9" s="19"/>
      <c r="T9" s="19"/>
      <c r="U9" s="19"/>
      <c r="V9" s="19"/>
      <c r="W9" s="19"/>
      <c r="X9" s="19"/>
      <c r="Y9" s="19"/>
      <c r="Z9" s="19"/>
    </row>
    <row r="10">
      <c r="A10" s="19"/>
      <c r="B10" s="9"/>
      <c r="C10" s="10"/>
      <c r="D10" s="10"/>
      <c r="E10" s="10"/>
      <c r="F10" s="10"/>
      <c r="G10" s="10"/>
      <c r="H10" s="9"/>
      <c r="I10" s="11"/>
      <c r="J10" s="19"/>
      <c r="K10" s="25"/>
      <c r="L10" s="19"/>
      <c r="M10" s="19"/>
      <c r="N10" s="19"/>
      <c r="O10" s="26"/>
      <c r="P10" s="19"/>
      <c r="Q10" s="19"/>
      <c r="R10" s="19"/>
      <c r="S10" s="19"/>
      <c r="T10" s="19"/>
      <c r="U10" s="19"/>
      <c r="V10" s="19"/>
      <c r="W10" s="19"/>
      <c r="X10" s="19"/>
      <c r="Y10" s="19"/>
      <c r="Z10" s="19"/>
    </row>
    <row r="11">
      <c r="A11" s="19"/>
      <c r="B11" s="19"/>
      <c r="C11" s="19"/>
      <c r="D11" s="19"/>
      <c r="E11" s="19"/>
      <c r="F11" s="19"/>
      <c r="G11" s="19"/>
      <c r="H11" s="19"/>
      <c r="I11" s="19"/>
      <c r="J11" s="19"/>
      <c r="K11" s="25"/>
      <c r="L11" s="19"/>
      <c r="M11" s="19"/>
      <c r="N11" s="19"/>
      <c r="O11" s="26"/>
      <c r="P11" s="19"/>
      <c r="Q11" s="19"/>
      <c r="R11" s="19"/>
      <c r="S11" s="19"/>
      <c r="T11" s="19"/>
      <c r="U11" s="19"/>
      <c r="V11" s="19"/>
      <c r="W11" s="19"/>
      <c r="X11" s="19"/>
      <c r="Y11" s="19"/>
      <c r="Z11" s="19"/>
    </row>
    <row r="12">
      <c r="A12" s="19"/>
      <c r="B12" s="30" t="s">
        <v>12</v>
      </c>
      <c r="C12" s="31"/>
      <c r="D12" s="31"/>
      <c r="E12" s="31"/>
      <c r="F12" s="31"/>
      <c r="G12" s="31"/>
      <c r="H12" s="31"/>
      <c r="I12" s="32"/>
      <c r="J12" s="19"/>
      <c r="K12" s="25"/>
      <c r="L12" s="19"/>
      <c r="M12" s="19"/>
      <c r="N12" s="19"/>
      <c r="O12" s="26"/>
      <c r="P12" s="19"/>
      <c r="Q12" s="19"/>
      <c r="R12" s="19"/>
      <c r="S12" s="19"/>
      <c r="T12" s="19"/>
      <c r="U12" s="19"/>
      <c r="V12" s="19"/>
      <c r="W12" s="19"/>
      <c r="X12" s="19"/>
      <c r="Y12" s="19"/>
      <c r="Z12" s="19"/>
    </row>
    <row r="13">
      <c r="A13" s="19"/>
      <c r="B13" s="33"/>
      <c r="C13" s="34"/>
      <c r="D13" s="34"/>
      <c r="E13" s="34"/>
      <c r="F13" s="34"/>
      <c r="G13" s="34"/>
      <c r="H13" s="34"/>
      <c r="I13" s="35"/>
      <c r="J13" s="19"/>
      <c r="K13" s="25"/>
      <c r="L13" s="19"/>
      <c r="M13" s="19"/>
      <c r="N13" s="19"/>
      <c r="O13" s="26"/>
      <c r="P13" s="19"/>
      <c r="Q13" s="19"/>
      <c r="R13" s="19"/>
      <c r="S13" s="19"/>
      <c r="T13" s="19"/>
      <c r="U13" s="19"/>
      <c r="V13" s="19"/>
      <c r="W13" s="19"/>
      <c r="X13" s="19"/>
      <c r="Y13" s="19"/>
      <c r="Z13" s="19"/>
    </row>
    <row r="14">
      <c r="A14" s="19"/>
      <c r="B14" s="36" t="s">
        <v>13</v>
      </c>
      <c r="C14" s="37"/>
      <c r="D14" s="34"/>
      <c r="E14" s="36" t="s">
        <v>14</v>
      </c>
      <c r="F14" s="38"/>
      <c r="G14" s="37"/>
      <c r="H14" s="34"/>
      <c r="I14" s="39" t="s">
        <v>15</v>
      </c>
      <c r="J14" s="19"/>
      <c r="K14" s="25"/>
      <c r="L14" s="19"/>
      <c r="M14" s="19"/>
      <c r="N14" s="19"/>
      <c r="O14" s="26"/>
      <c r="P14" s="19"/>
      <c r="Q14" s="19"/>
      <c r="R14" s="19"/>
      <c r="S14" s="19"/>
      <c r="T14" s="19"/>
      <c r="U14" s="19"/>
      <c r="V14" s="19"/>
      <c r="W14" s="19"/>
      <c r="X14" s="19"/>
      <c r="Y14" s="19"/>
      <c r="Z14" s="19"/>
    </row>
    <row r="15">
      <c r="A15" s="19"/>
      <c r="B15" s="33"/>
      <c r="C15" s="40"/>
      <c r="D15" s="34"/>
      <c r="E15" s="33"/>
      <c r="F15" s="34"/>
      <c r="G15" s="40"/>
      <c r="H15" s="34"/>
      <c r="I15" s="41"/>
      <c r="J15" s="19"/>
      <c r="K15" s="42"/>
      <c r="L15" s="43"/>
      <c r="M15" s="43"/>
      <c r="N15" s="43"/>
      <c r="O15" s="44"/>
      <c r="P15" s="19"/>
      <c r="Q15" s="19"/>
      <c r="R15" s="19"/>
      <c r="S15" s="19"/>
      <c r="T15" s="19"/>
      <c r="U15" s="19"/>
      <c r="V15" s="19"/>
      <c r="W15" s="19"/>
      <c r="X15" s="19"/>
      <c r="Y15" s="19"/>
      <c r="Z15" s="19"/>
    </row>
    <row r="16">
      <c r="A16" s="19"/>
      <c r="B16" s="45">
        <v>400.0</v>
      </c>
      <c r="C16" s="46"/>
      <c r="D16" s="47" t="s">
        <v>16</v>
      </c>
      <c r="E16" s="48">
        <f>(B5*B16)</f>
        <v>12.60400005</v>
      </c>
      <c r="G16" s="46"/>
      <c r="H16" s="34"/>
      <c r="I16" s="49">
        <f>(E16/12)</f>
        <v>1.050333338</v>
      </c>
      <c r="J16" s="19"/>
      <c r="K16" s="19"/>
      <c r="L16" s="19"/>
      <c r="M16" s="19"/>
      <c r="N16" s="19"/>
      <c r="O16" s="19"/>
      <c r="P16" s="19"/>
      <c r="Q16" s="19"/>
      <c r="R16" s="19"/>
      <c r="S16" s="19"/>
      <c r="T16" s="19"/>
      <c r="U16" s="19"/>
      <c r="V16" s="19"/>
      <c r="W16" s="19"/>
      <c r="X16" s="19"/>
      <c r="Y16" s="19"/>
      <c r="Z16" s="19"/>
    </row>
    <row r="17">
      <c r="A17" s="19"/>
      <c r="B17" s="50"/>
      <c r="C17" s="51"/>
      <c r="D17" s="47"/>
      <c r="E17" s="52"/>
      <c r="F17" s="53"/>
      <c r="G17" s="54"/>
      <c r="H17" s="34"/>
      <c r="I17" s="55"/>
      <c r="J17" s="19"/>
      <c r="K17" s="20"/>
      <c r="L17" s="21"/>
      <c r="M17" s="21"/>
      <c r="N17" s="21"/>
      <c r="O17" s="22"/>
      <c r="P17" s="19"/>
      <c r="Q17" s="19"/>
      <c r="R17" s="19"/>
      <c r="S17" s="19"/>
      <c r="T17" s="19"/>
      <c r="U17" s="19"/>
      <c r="V17" s="19"/>
      <c r="W17" s="19"/>
      <c r="X17" s="19"/>
      <c r="Y17" s="19"/>
      <c r="Z17" s="19"/>
    </row>
    <row r="18">
      <c r="A18" s="19"/>
      <c r="B18" s="56">
        <v>1000.0</v>
      </c>
      <c r="C18" s="46"/>
      <c r="D18" s="47" t="s">
        <v>16</v>
      </c>
      <c r="E18" s="48">
        <f>(B5*B18)</f>
        <v>31.51000014</v>
      </c>
      <c r="G18" s="46"/>
      <c r="H18" s="34"/>
      <c r="I18" s="49">
        <f>(E18/12)</f>
        <v>2.625833345</v>
      </c>
      <c r="J18" s="19"/>
      <c r="K18" s="25"/>
      <c r="L18" s="19"/>
      <c r="M18" s="19"/>
      <c r="N18" s="19"/>
      <c r="O18" s="26"/>
      <c r="P18" s="19"/>
      <c r="Q18" s="19"/>
      <c r="R18" s="19"/>
      <c r="S18" s="19"/>
      <c r="T18" s="19"/>
      <c r="U18" s="19"/>
      <c r="V18" s="19"/>
      <c r="W18" s="19"/>
      <c r="X18" s="19"/>
      <c r="Y18" s="19"/>
      <c r="Z18" s="19"/>
    </row>
    <row r="19">
      <c r="A19" s="19"/>
      <c r="B19" s="50"/>
      <c r="C19" s="51"/>
      <c r="D19" s="47"/>
      <c r="E19" s="52"/>
      <c r="F19" s="53"/>
      <c r="G19" s="54"/>
      <c r="H19" s="34"/>
      <c r="I19" s="55"/>
      <c r="J19" s="19"/>
      <c r="K19" s="25"/>
      <c r="L19" s="19"/>
      <c r="M19" s="19"/>
      <c r="N19" s="19"/>
      <c r="O19" s="26"/>
      <c r="P19" s="19"/>
      <c r="Q19" s="19"/>
      <c r="R19" s="19"/>
      <c r="S19" s="19"/>
      <c r="T19" s="19"/>
      <c r="U19" s="19"/>
      <c r="V19" s="19"/>
      <c r="W19" s="19"/>
      <c r="X19" s="19"/>
      <c r="Y19" s="19"/>
      <c r="Z19" s="19"/>
    </row>
    <row r="20">
      <c r="A20" s="19"/>
      <c r="B20" s="56">
        <v>5000.0</v>
      </c>
      <c r="C20" s="46"/>
      <c r="D20" s="47" t="s">
        <v>16</v>
      </c>
      <c r="E20" s="48">
        <f>(B5*B20)</f>
        <v>157.5500007</v>
      </c>
      <c r="G20" s="46"/>
      <c r="H20" s="34"/>
      <c r="I20" s="49">
        <f>(E20/12)</f>
        <v>13.12916672</v>
      </c>
      <c r="J20" s="19"/>
      <c r="K20" s="25"/>
      <c r="L20" s="19"/>
      <c r="M20" s="19"/>
      <c r="N20" s="19"/>
      <c r="O20" s="26"/>
      <c r="P20" s="19"/>
      <c r="Q20" s="19"/>
      <c r="R20" s="19"/>
      <c r="S20" s="19"/>
      <c r="T20" s="19"/>
      <c r="U20" s="19"/>
      <c r="V20" s="19"/>
      <c r="W20" s="19"/>
      <c r="X20" s="19"/>
      <c r="Y20" s="19"/>
      <c r="Z20" s="19"/>
    </row>
    <row r="21">
      <c r="A21" s="19"/>
      <c r="B21" s="50"/>
      <c r="C21" s="51"/>
      <c r="D21" s="47"/>
      <c r="E21" s="52"/>
      <c r="F21" s="53"/>
      <c r="G21" s="54"/>
      <c r="H21" s="34"/>
      <c r="I21" s="55"/>
      <c r="J21" s="19"/>
      <c r="K21" s="25"/>
      <c r="L21" s="19"/>
      <c r="M21" s="19"/>
      <c r="N21" s="19"/>
      <c r="O21" s="26"/>
      <c r="P21" s="19"/>
      <c r="Q21" s="19"/>
      <c r="R21" s="19"/>
      <c r="S21" s="19"/>
      <c r="T21" s="19"/>
      <c r="U21" s="19"/>
      <c r="V21" s="19"/>
      <c r="W21" s="19"/>
      <c r="X21" s="19"/>
      <c r="Y21" s="19"/>
      <c r="Z21" s="19"/>
    </row>
    <row r="22">
      <c r="A22" s="19"/>
      <c r="B22" s="56">
        <v>10000.0</v>
      </c>
      <c r="C22" s="46"/>
      <c r="D22" s="47" t="s">
        <v>16</v>
      </c>
      <c r="E22" s="48">
        <f>(B5*B22)</f>
        <v>315.1000014</v>
      </c>
      <c r="G22" s="46"/>
      <c r="H22" s="34"/>
      <c r="I22" s="49">
        <f>(E22/12)</f>
        <v>26.25833345</v>
      </c>
      <c r="J22" s="19"/>
      <c r="K22" s="25"/>
      <c r="L22" s="19"/>
      <c r="M22" s="19"/>
      <c r="N22" s="19"/>
      <c r="O22" s="26"/>
      <c r="P22" s="19"/>
      <c r="Q22" s="19"/>
      <c r="R22" s="19"/>
      <c r="S22" s="19"/>
      <c r="T22" s="19"/>
      <c r="U22" s="19"/>
      <c r="V22" s="19"/>
      <c r="W22" s="19"/>
      <c r="X22" s="19"/>
      <c r="Y22" s="19"/>
      <c r="Z22" s="19"/>
    </row>
    <row r="23">
      <c r="A23" s="19"/>
      <c r="B23" s="50"/>
      <c r="C23" s="51"/>
      <c r="D23" s="47"/>
      <c r="E23" s="52"/>
      <c r="F23" s="53"/>
      <c r="G23" s="54"/>
      <c r="H23" s="34"/>
      <c r="I23" s="55"/>
      <c r="J23" s="19"/>
      <c r="K23" s="25"/>
      <c r="L23" s="19"/>
      <c r="M23" s="19"/>
      <c r="N23" s="19"/>
      <c r="O23" s="26"/>
      <c r="P23" s="19"/>
      <c r="Q23" s="19"/>
      <c r="R23" s="19"/>
      <c r="S23" s="19"/>
      <c r="T23" s="19"/>
      <c r="U23" s="19"/>
      <c r="V23" s="19"/>
      <c r="W23" s="19"/>
      <c r="X23" s="19"/>
      <c r="Y23" s="19"/>
      <c r="Z23" s="19"/>
    </row>
    <row r="24">
      <c r="A24" s="19"/>
      <c r="B24" s="56">
        <v>25000.0</v>
      </c>
      <c r="C24" s="46"/>
      <c r="D24" s="47" t="s">
        <v>16</v>
      </c>
      <c r="E24" s="48">
        <f>(B5*B24)</f>
        <v>787.7500034</v>
      </c>
      <c r="G24" s="46"/>
      <c r="H24" s="34"/>
      <c r="I24" s="49">
        <f>(E24/12)</f>
        <v>65.64583362</v>
      </c>
      <c r="J24" s="19"/>
      <c r="K24" s="25"/>
      <c r="L24" s="19"/>
      <c r="M24" s="19"/>
      <c r="N24" s="19"/>
      <c r="O24" s="26"/>
      <c r="P24" s="19"/>
      <c r="Q24" s="19"/>
      <c r="R24" s="19"/>
      <c r="S24" s="19"/>
      <c r="T24" s="19"/>
      <c r="U24" s="19"/>
      <c r="V24" s="19"/>
      <c r="W24" s="19"/>
      <c r="X24" s="19"/>
      <c r="Y24" s="19"/>
      <c r="Z24" s="19"/>
    </row>
    <row r="25">
      <c r="A25" s="19"/>
      <c r="B25" s="50"/>
      <c r="C25" s="51"/>
      <c r="D25" s="47"/>
      <c r="E25" s="52"/>
      <c r="F25" s="53"/>
      <c r="G25" s="54"/>
      <c r="H25" s="34"/>
      <c r="I25" s="55"/>
      <c r="J25" s="19"/>
      <c r="K25" s="25"/>
      <c r="L25" s="19"/>
      <c r="M25" s="19"/>
      <c r="N25" s="19"/>
      <c r="O25" s="26"/>
      <c r="P25" s="19"/>
      <c r="Q25" s="19"/>
      <c r="R25" s="19"/>
      <c r="S25" s="19"/>
      <c r="T25" s="19"/>
      <c r="U25" s="19"/>
      <c r="V25" s="19"/>
      <c r="W25" s="19"/>
      <c r="X25" s="19"/>
      <c r="Y25" s="19"/>
      <c r="Z25" s="19"/>
    </row>
    <row r="26">
      <c r="A26" s="19"/>
      <c r="B26" s="56">
        <v>50000.0</v>
      </c>
      <c r="C26" s="46"/>
      <c r="D26" s="47" t="s">
        <v>16</v>
      </c>
      <c r="E26" s="48">
        <f>(B5*B26)</f>
        <v>1575.500007</v>
      </c>
      <c r="G26" s="46"/>
      <c r="H26" s="34"/>
      <c r="I26" s="49">
        <f>(E26/12)</f>
        <v>131.2916672</v>
      </c>
      <c r="J26" s="19"/>
      <c r="K26" s="25"/>
      <c r="L26" s="19"/>
      <c r="M26" s="19"/>
      <c r="N26" s="19"/>
      <c r="O26" s="26"/>
      <c r="P26" s="19"/>
      <c r="Q26" s="19"/>
      <c r="R26" s="19"/>
      <c r="S26" s="19"/>
      <c r="T26" s="19"/>
      <c r="U26" s="19"/>
      <c r="V26" s="19"/>
      <c r="W26" s="19"/>
      <c r="X26" s="19"/>
      <c r="Y26" s="19"/>
      <c r="Z26" s="19"/>
    </row>
    <row r="27">
      <c r="A27" s="19"/>
      <c r="B27" s="33"/>
      <c r="C27" s="40"/>
      <c r="D27" s="47"/>
      <c r="E27" s="33"/>
      <c r="F27" s="34"/>
      <c r="G27" s="40"/>
      <c r="H27" s="34"/>
      <c r="I27" s="55"/>
      <c r="J27" s="19"/>
      <c r="K27" s="25"/>
      <c r="L27" s="19"/>
      <c r="M27" s="19"/>
      <c r="N27" s="19"/>
      <c r="O27" s="26"/>
      <c r="P27" s="19"/>
      <c r="Q27" s="19"/>
      <c r="R27" s="19"/>
      <c r="S27" s="19"/>
      <c r="T27" s="19"/>
      <c r="U27" s="19"/>
      <c r="V27" s="19"/>
      <c r="W27" s="19"/>
      <c r="X27" s="19"/>
      <c r="Y27" s="19"/>
      <c r="Z27" s="19"/>
    </row>
    <row r="28">
      <c r="A28" s="19"/>
      <c r="B28" s="56">
        <v>100000.0</v>
      </c>
      <c r="C28" s="46"/>
      <c r="D28" s="47" t="s">
        <v>16</v>
      </c>
      <c r="E28" s="48">
        <f>(B5*B28)</f>
        <v>3151.000014</v>
      </c>
      <c r="G28" s="46"/>
      <c r="H28" s="34"/>
      <c r="I28" s="49">
        <f>(E28/12)</f>
        <v>262.5833345</v>
      </c>
      <c r="J28" s="19"/>
      <c r="K28" s="25"/>
      <c r="L28" s="19"/>
      <c r="M28" s="19"/>
      <c r="N28" s="19"/>
      <c r="O28" s="26"/>
      <c r="P28" s="19"/>
      <c r="Q28" s="19"/>
      <c r="R28" s="19"/>
      <c r="S28" s="19"/>
      <c r="T28" s="19"/>
      <c r="U28" s="19"/>
      <c r="V28" s="19"/>
      <c r="W28" s="19"/>
      <c r="X28" s="19"/>
      <c r="Y28" s="19"/>
      <c r="Z28" s="19"/>
    </row>
    <row r="29">
      <c r="A29" s="19"/>
      <c r="B29" s="33"/>
      <c r="C29" s="40"/>
      <c r="D29" s="34"/>
      <c r="E29" s="48"/>
      <c r="G29" s="46"/>
      <c r="H29" s="34"/>
      <c r="I29" s="41"/>
      <c r="J29" s="19"/>
      <c r="K29" s="25"/>
      <c r="L29" s="19"/>
      <c r="M29" s="19"/>
      <c r="N29" s="19"/>
      <c r="O29" s="26"/>
      <c r="P29" s="19"/>
      <c r="Q29" s="19"/>
      <c r="R29" s="19"/>
      <c r="S29" s="19"/>
      <c r="T29" s="19"/>
      <c r="U29" s="19"/>
      <c r="V29" s="19"/>
      <c r="W29" s="19"/>
      <c r="X29" s="19"/>
      <c r="Y29" s="19"/>
      <c r="Z29" s="19"/>
    </row>
    <row r="30">
      <c r="A30" s="19"/>
      <c r="B30" s="45">
        <v>300000.0</v>
      </c>
      <c r="C30" s="46"/>
      <c r="D30" s="47" t="s">
        <v>16</v>
      </c>
      <c r="E30" s="48">
        <f>(B5*B30)</f>
        <v>9453.000041</v>
      </c>
      <c r="G30" s="46"/>
      <c r="H30" s="34"/>
      <c r="I30" s="49">
        <f>(E30/12)</f>
        <v>787.7500034</v>
      </c>
      <c r="J30" s="19"/>
      <c r="K30" s="25"/>
      <c r="L30" s="19"/>
      <c r="M30" s="19"/>
      <c r="N30" s="19"/>
      <c r="O30" s="26"/>
      <c r="P30" s="19"/>
      <c r="Q30" s="19"/>
      <c r="R30" s="19"/>
      <c r="S30" s="19"/>
      <c r="T30" s="19"/>
      <c r="U30" s="19"/>
      <c r="V30" s="19"/>
      <c r="W30" s="19"/>
      <c r="X30" s="19"/>
      <c r="Y30" s="19"/>
      <c r="Z30" s="19"/>
    </row>
    <row r="31">
      <c r="A31" s="19"/>
      <c r="B31" s="57"/>
      <c r="C31" s="58"/>
      <c r="D31" s="59"/>
      <c r="E31" s="57"/>
      <c r="F31" s="60"/>
      <c r="G31" s="58"/>
      <c r="H31" s="59"/>
      <c r="I31" s="61"/>
      <c r="J31" s="19"/>
      <c r="K31" s="42"/>
      <c r="L31" s="43"/>
      <c r="M31" s="43"/>
      <c r="N31" s="43"/>
      <c r="O31" s="44"/>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row r="1002">
      <c r="A1002" s="19"/>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row>
    <row r="1003">
      <c r="A1003" s="19"/>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row>
    <row r="1004">
      <c r="A1004" s="19"/>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row>
  </sheetData>
  <mergeCells count="25">
    <mergeCell ref="B2:D4"/>
    <mergeCell ref="F2:I6"/>
    <mergeCell ref="B5:D6"/>
    <mergeCell ref="B9:G10"/>
    <mergeCell ref="H9:I10"/>
    <mergeCell ref="B12:I12"/>
    <mergeCell ref="E14:G14"/>
    <mergeCell ref="B14:C14"/>
    <mergeCell ref="B16:C16"/>
    <mergeCell ref="E16:G16"/>
    <mergeCell ref="B18:C18"/>
    <mergeCell ref="E18:G18"/>
    <mergeCell ref="B20:C20"/>
    <mergeCell ref="E20:G20"/>
    <mergeCell ref="E28:G28"/>
    <mergeCell ref="E29:G29"/>
    <mergeCell ref="B30:C30"/>
    <mergeCell ref="E30:G30"/>
    <mergeCell ref="B22:C22"/>
    <mergeCell ref="E22:G22"/>
    <mergeCell ref="B24:C24"/>
    <mergeCell ref="E24:G24"/>
    <mergeCell ref="B26:C26"/>
    <mergeCell ref="E26:G26"/>
    <mergeCell ref="B28:C28"/>
  </mergeCells>
  <hyperlinks>
    <hyperlink r:id="rId1" ref="F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13" width="6.5"/>
    <col customWidth="1" min="14" max="14" width="4.25"/>
    <col customWidth="1" min="17" max="17" width="6.25"/>
    <col customWidth="1" min="18" max="18" width="5.88"/>
  </cols>
  <sheetData>
    <row r="1">
      <c r="A1" s="62"/>
      <c r="B1" s="62"/>
      <c r="C1" s="62"/>
      <c r="D1" s="62"/>
      <c r="E1" s="62"/>
      <c r="F1" s="62"/>
      <c r="G1" s="62"/>
      <c r="H1" s="62"/>
      <c r="I1" s="62"/>
      <c r="J1" s="62"/>
      <c r="K1" s="62"/>
      <c r="L1" s="62"/>
      <c r="M1" s="62"/>
      <c r="N1" s="62"/>
      <c r="O1" s="62"/>
      <c r="P1" s="62"/>
      <c r="Q1" s="62"/>
    </row>
    <row r="2">
      <c r="A2" s="62"/>
      <c r="B2" s="63" t="s">
        <v>17</v>
      </c>
      <c r="C2" s="63" t="s">
        <v>18</v>
      </c>
      <c r="D2" s="63" t="s">
        <v>19</v>
      </c>
      <c r="E2" s="63" t="s">
        <v>20</v>
      </c>
      <c r="F2" s="63" t="s">
        <v>21</v>
      </c>
      <c r="G2" s="63" t="s">
        <v>22</v>
      </c>
      <c r="H2" s="63" t="s">
        <v>23</v>
      </c>
      <c r="I2" s="63" t="s">
        <v>24</v>
      </c>
      <c r="J2" s="63" t="s">
        <v>25</v>
      </c>
      <c r="K2" s="63" t="s">
        <v>26</v>
      </c>
      <c r="L2" s="63" t="s">
        <v>27</v>
      </c>
      <c r="M2" s="63" t="s">
        <v>28</v>
      </c>
      <c r="N2" s="62"/>
      <c r="O2" s="62"/>
      <c r="P2" s="62"/>
      <c r="Q2" s="62"/>
    </row>
    <row r="3">
      <c r="A3" s="64">
        <v>1.0</v>
      </c>
      <c r="B3" s="65" t="s">
        <v>29</v>
      </c>
      <c r="C3" s="66" t="s">
        <v>30</v>
      </c>
      <c r="D3" s="66" t="s">
        <v>31</v>
      </c>
      <c r="E3" s="66" t="s">
        <v>29</v>
      </c>
      <c r="F3" s="67"/>
      <c r="G3" s="66" t="s">
        <v>31</v>
      </c>
      <c r="H3" s="66" t="s">
        <v>29</v>
      </c>
      <c r="I3" s="66" t="s">
        <v>30</v>
      </c>
      <c r="J3" s="66" t="s">
        <v>31</v>
      </c>
      <c r="K3" s="66" t="s">
        <v>29</v>
      </c>
      <c r="L3" s="66" t="s">
        <v>30</v>
      </c>
      <c r="M3" s="66" t="s">
        <v>31</v>
      </c>
      <c r="N3" s="62"/>
      <c r="O3" s="68" t="s">
        <v>32</v>
      </c>
      <c r="P3" s="4"/>
      <c r="Q3" s="5"/>
    </row>
    <row r="4">
      <c r="A4" s="64">
        <v>2.0</v>
      </c>
      <c r="B4" s="69"/>
      <c r="C4" s="70" t="s">
        <v>33</v>
      </c>
      <c r="D4" s="70" t="s">
        <v>34</v>
      </c>
      <c r="E4" s="70" t="s">
        <v>35</v>
      </c>
      <c r="F4" s="70" t="s">
        <v>30</v>
      </c>
      <c r="G4" s="70" t="s">
        <v>34</v>
      </c>
      <c r="H4" s="70" t="s">
        <v>35</v>
      </c>
      <c r="I4" s="71"/>
      <c r="J4" s="70" t="s">
        <v>34</v>
      </c>
      <c r="K4" s="70" t="s">
        <v>35</v>
      </c>
      <c r="L4" s="70" t="s">
        <v>33</v>
      </c>
      <c r="M4" s="70" t="s">
        <v>34</v>
      </c>
      <c r="N4" s="62"/>
      <c r="O4" s="7"/>
      <c r="Q4" s="8"/>
    </row>
    <row r="5">
      <c r="A5" s="64">
        <v>3.0</v>
      </c>
      <c r="B5" s="72" t="s">
        <v>36</v>
      </c>
      <c r="C5" s="71"/>
      <c r="D5" s="71"/>
      <c r="E5" s="70" t="s">
        <v>36</v>
      </c>
      <c r="F5" s="71"/>
      <c r="G5" s="70" t="s">
        <v>37</v>
      </c>
      <c r="H5" s="71"/>
      <c r="I5" s="70" t="s">
        <v>33</v>
      </c>
      <c r="J5" s="71"/>
      <c r="K5" s="71"/>
      <c r="L5" s="70" t="s">
        <v>38</v>
      </c>
      <c r="M5" s="70" t="s">
        <v>37</v>
      </c>
      <c r="N5" s="62"/>
      <c r="O5" s="7"/>
      <c r="Q5" s="8"/>
    </row>
    <row r="6">
      <c r="A6" s="64">
        <v>4.0</v>
      </c>
      <c r="B6" s="72" t="s">
        <v>39</v>
      </c>
      <c r="C6" s="70" t="s">
        <v>40</v>
      </c>
      <c r="D6" s="71"/>
      <c r="E6" s="70" t="s">
        <v>39</v>
      </c>
      <c r="F6" s="70" t="s">
        <v>33</v>
      </c>
      <c r="G6" s="71"/>
      <c r="H6" s="70" t="s">
        <v>39</v>
      </c>
      <c r="I6" s="70" t="s">
        <v>38</v>
      </c>
      <c r="J6" s="70" t="s">
        <v>41</v>
      </c>
      <c r="K6" s="70" t="s">
        <v>39</v>
      </c>
      <c r="L6" s="71"/>
      <c r="M6" s="70" t="s">
        <v>35</v>
      </c>
      <c r="N6" s="62"/>
      <c r="O6" s="7"/>
      <c r="Q6" s="8"/>
    </row>
    <row r="7">
      <c r="A7" s="64">
        <v>5.0</v>
      </c>
      <c r="B7" s="72" t="s">
        <v>42</v>
      </c>
      <c r="C7" s="70" t="s">
        <v>38</v>
      </c>
      <c r="D7" s="71"/>
      <c r="E7" s="70" t="s">
        <v>42</v>
      </c>
      <c r="F7" s="70" t="s">
        <v>38</v>
      </c>
      <c r="G7" s="71"/>
      <c r="H7" s="70" t="s">
        <v>42</v>
      </c>
      <c r="I7" s="70" t="s">
        <v>40</v>
      </c>
      <c r="J7" s="70" t="s">
        <v>36</v>
      </c>
      <c r="K7" s="70" t="s">
        <v>42</v>
      </c>
      <c r="L7" s="71"/>
      <c r="M7" s="70" t="s">
        <v>41</v>
      </c>
      <c r="N7" s="62"/>
      <c r="O7" s="7"/>
      <c r="Q7" s="8"/>
    </row>
    <row r="8">
      <c r="A8" s="64">
        <v>6.0</v>
      </c>
      <c r="B8" s="69"/>
      <c r="C8" s="71"/>
      <c r="D8" s="70" t="s">
        <v>41</v>
      </c>
      <c r="E8" s="71"/>
      <c r="F8" s="70" t="s">
        <v>40</v>
      </c>
      <c r="G8" s="70" t="s">
        <v>41</v>
      </c>
      <c r="H8" s="71"/>
      <c r="I8" s="71"/>
      <c r="J8" s="70" t="s">
        <v>43</v>
      </c>
      <c r="K8" s="71"/>
      <c r="L8" s="71"/>
      <c r="M8" s="70" t="s">
        <v>43</v>
      </c>
      <c r="N8" s="62"/>
      <c r="O8" s="7"/>
      <c r="Q8" s="8"/>
    </row>
    <row r="9">
      <c r="A9" s="64">
        <v>7.0</v>
      </c>
      <c r="B9" s="72" t="s">
        <v>44</v>
      </c>
      <c r="C9" s="70" t="s">
        <v>45</v>
      </c>
      <c r="D9" s="70" t="s">
        <v>43</v>
      </c>
      <c r="E9" s="70" t="s">
        <v>46</v>
      </c>
      <c r="F9" s="71"/>
      <c r="G9" s="70" t="s">
        <v>43</v>
      </c>
      <c r="H9" s="71"/>
      <c r="I9" s="70" t="s">
        <v>45</v>
      </c>
      <c r="J9" s="70" t="s">
        <v>37</v>
      </c>
      <c r="K9" s="70" t="s">
        <v>47</v>
      </c>
      <c r="L9" s="70" t="s">
        <v>45</v>
      </c>
      <c r="M9" s="71"/>
      <c r="N9" s="62"/>
      <c r="O9" s="7"/>
      <c r="Q9" s="8"/>
    </row>
    <row r="10">
      <c r="A10" s="64">
        <v>8.0</v>
      </c>
      <c r="B10" s="72" t="s">
        <v>47</v>
      </c>
      <c r="C10" s="71"/>
      <c r="D10" s="70" t="s">
        <v>48</v>
      </c>
      <c r="E10" s="70" t="s">
        <v>47</v>
      </c>
      <c r="F10" s="70" t="s">
        <v>45</v>
      </c>
      <c r="G10" s="71"/>
      <c r="H10" s="70" t="s">
        <v>47</v>
      </c>
      <c r="I10" s="71"/>
      <c r="J10" s="70" t="s">
        <v>49</v>
      </c>
      <c r="K10" s="71"/>
      <c r="L10" s="71"/>
      <c r="M10" s="70" t="s">
        <v>49</v>
      </c>
      <c r="N10" s="62"/>
      <c r="O10" s="7"/>
      <c r="Q10" s="8"/>
    </row>
    <row r="11">
      <c r="A11" s="64">
        <v>9.0</v>
      </c>
      <c r="B11" s="69"/>
      <c r="C11" s="70" t="s">
        <v>48</v>
      </c>
      <c r="D11" s="70" t="s">
        <v>50</v>
      </c>
      <c r="E11" s="71"/>
      <c r="F11" s="71"/>
      <c r="G11" s="70" t="s">
        <v>48</v>
      </c>
      <c r="H11" s="70" t="s">
        <v>51</v>
      </c>
      <c r="I11" s="70" t="s">
        <v>48</v>
      </c>
      <c r="J11" s="70" t="s">
        <v>50</v>
      </c>
      <c r="K11" s="71"/>
      <c r="L11" s="70" t="s">
        <v>48</v>
      </c>
      <c r="M11" s="70" t="s">
        <v>48</v>
      </c>
      <c r="N11" s="62"/>
      <c r="O11" s="7"/>
      <c r="Q11" s="8"/>
    </row>
    <row r="12">
      <c r="A12" s="64">
        <v>10.0</v>
      </c>
      <c r="B12" s="72" t="s">
        <v>46</v>
      </c>
      <c r="C12" s="70" t="s">
        <v>52</v>
      </c>
      <c r="D12" s="70" t="s">
        <v>53</v>
      </c>
      <c r="E12" s="71"/>
      <c r="F12" s="70" t="s">
        <v>48</v>
      </c>
      <c r="G12" s="70" t="s">
        <v>50</v>
      </c>
      <c r="H12" s="70" t="s">
        <v>46</v>
      </c>
      <c r="I12" s="70" t="s">
        <v>54</v>
      </c>
      <c r="J12" s="70" t="s">
        <v>55</v>
      </c>
      <c r="K12" s="71"/>
      <c r="L12" s="70" t="s">
        <v>52</v>
      </c>
      <c r="M12" s="70" t="s">
        <v>50</v>
      </c>
      <c r="N12" s="62"/>
      <c r="O12" s="7"/>
      <c r="Q12" s="8"/>
    </row>
    <row r="13">
      <c r="A13" s="64">
        <v>11.0</v>
      </c>
      <c r="B13" s="72" t="s">
        <v>48</v>
      </c>
      <c r="C13" s="70" t="s">
        <v>54</v>
      </c>
      <c r="D13" s="70" t="s">
        <v>49</v>
      </c>
      <c r="E13" s="71"/>
      <c r="F13" s="70" t="s">
        <v>54</v>
      </c>
      <c r="G13" s="70" t="s">
        <v>53</v>
      </c>
      <c r="H13" s="70" t="s">
        <v>56</v>
      </c>
      <c r="I13" s="70" t="s">
        <v>52</v>
      </c>
      <c r="J13" s="70" t="s">
        <v>53</v>
      </c>
      <c r="K13" s="70" t="s">
        <v>46</v>
      </c>
      <c r="L13" s="70" t="s">
        <v>40</v>
      </c>
      <c r="M13" s="71"/>
      <c r="N13" s="62"/>
      <c r="O13" s="7"/>
      <c r="Q13" s="8"/>
    </row>
    <row r="14">
      <c r="A14" s="64">
        <v>12.0</v>
      </c>
      <c r="B14" s="72" t="s">
        <v>56</v>
      </c>
      <c r="C14" s="71"/>
      <c r="D14" s="70" t="s">
        <v>55</v>
      </c>
      <c r="E14" s="70" t="s">
        <v>48</v>
      </c>
      <c r="F14" s="70" t="s">
        <v>52</v>
      </c>
      <c r="G14" s="70" t="s">
        <v>55</v>
      </c>
      <c r="H14" s="70" t="s">
        <v>48</v>
      </c>
      <c r="I14" s="70" t="s">
        <v>51</v>
      </c>
      <c r="J14" s="70" t="s">
        <v>48</v>
      </c>
      <c r="K14" s="70" t="s">
        <v>48</v>
      </c>
      <c r="L14" s="70" t="s">
        <v>54</v>
      </c>
      <c r="M14" s="70" t="s">
        <v>53</v>
      </c>
      <c r="N14" s="62"/>
      <c r="O14" s="7"/>
      <c r="Q14" s="8"/>
    </row>
    <row r="15">
      <c r="A15" s="64">
        <v>13.0</v>
      </c>
      <c r="B15" s="72" t="s">
        <v>57</v>
      </c>
      <c r="C15" s="70" t="s">
        <v>51</v>
      </c>
      <c r="D15" s="70" t="s">
        <v>37</v>
      </c>
      <c r="E15" s="70" t="s">
        <v>56</v>
      </c>
      <c r="F15" s="70" t="s">
        <v>58</v>
      </c>
      <c r="G15" s="70" t="s">
        <v>49</v>
      </c>
      <c r="H15" s="70" t="s">
        <v>59</v>
      </c>
      <c r="I15" s="70" t="s">
        <v>60</v>
      </c>
      <c r="J15" s="70" t="s">
        <v>57</v>
      </c>
      <c r="K15" s="70" t="s">
        <v>56</v>
      </c>
      <c r="L15" s="70" t="s">
        <v>51</v>
      </c>
      <c r="M15" s="70" t="s">
        <v>55</v>
      </c>
      <c r="N15" s="62"/>
      <c r="O15" s="9"/>
      <c r="P15" s="10"/>
      <c r="Q15" s="11"/>
    </row>
    <row r="16">
      <c r="A16" s="64">
        <v>14.0</v>
      </c>
      <c r="B16" s="72" t="s">
        <v>58</v>
      </c>
      <c r="C16" s="70" t="s">
        <v>60</v>
      </c>
      <c r="D16" s="70" t="s">
        <v>51</v>
      </c>
      <c r="E16" s="70" t="s">
        <v>57</v>
      </c>
      <c r="F16" s="70" t="s">
        <v>57</v>
      </c>
      <c r="G16" s="70" t="s">
        <v>51</v>
      </c>
      <c r="H16" s="70" t="s">
        <v>57</v>
      </c>
      <c r="I16" s="70" t="s">
        <v>57</v>
      </c>
      <c r="J16" s="70" t="s">
        <v>61</v>
      </c>
      <c r="K16" s="70" t="s">
        <v>58</v>
      </c>
      <c r="L16" s="70" t="s">
        <v>60</v>
      </c>
      <c r="M16" s="70" t="s">
        <v>51</v>
      </c>
      <c r="N16" s="62"/>
      <c r="O16" s="62"/>
      <c r="P16" s="62"/>
      <c r="Q16" s="62"/>
    </row>
    <row r="17">
      <c r="A17" s="64">
        <v>15.0</v>
      </c>
      <c r="B17" s="72" t="s">
        <v>59</v>
      </c>
      <c r="C17" s="70" t="s">
        <v>58</v>
      </c>
      <c r="D17" s="70" t="s">
        <v>58</v>
      </c>
      <c r="E17" s="70" t="s">
        <v>58</v>
      </c>
      <c r="F17" s="70" t="s">
        <v>51</v>
      </c>
      <c r="G17" s="70" t="s">
        <v>58</v>
      </c>
      <c r="H17" s="70" t="s">
        <v>58</v>
      </c>
      <c r="I17" s="70" t="s">
        <v>58</v>
      </c>
      <c r="J17" s="70" t="s">
        <v>58</v>
      </c>
      <c r="K17" s="70" t="s">
        <v>57</v>
      </c>
      <c r="L17" s="70" t="s">
        <v>58</v>
      </c>
      <c r="M17" s="70" t="s">
        <v>58</v>
      </c>
      <c r="N17" s="62"/>
      <c r="O17" s="62"/>
      <c r="P17" s="62"/>
      <c r="Q17" s="62"/>
    </row>
    <row r="18">
      <c r="A18" s="64">
        <v>16.0</v>
      </c>
      <c r="B18" s="72" t="s">
        <v>51</v>
      </c>
      <c r="C18" s="70" t="s">
        <v>57</v>
      </c>
      <c r="D18" s="70" t="s">
        <v>62</v>
      </c>
      <c r="E18" s="70" t="s">
        <v>51</v>
      </c>
      <c r="F18" s="70" t="s">
        <v>60</v>
      </c>
      <c r="G18" s="70" t="s">
        <v>57</v>
      </c>
      <c r="H18" s="70" t="s">
        <v>63</v>
      </c>
      <c r="I18" s="70" t="s">
        <v>61</v>
      </c>
      <c r="J18" s="70" t="s">
        <v>62</v>
      </c>
      <c r="K18" s="70" t="s">
        <v>51</v>
      </c>
      <c r="L18" s="70" t="s">
        <v>57</v>
      </c>
      <c r="M18" s="70" t="s">
        <v>62</v>
      </c>
      <c r="N18" s="62"/>
      <c r="O18" s="62"/>
      <c r="P18" s="62"/>
      <c r="Q18" s="62"/>
    </row>
    <row r="19">
      <c r="A19" s="64">
        <v>17.0</v>
      </c>
      <c r="B19" s="72" t="s">
        <v>64</v>
      </c>
      <c r="C19" s="70" t="s">
        <v>61</v>
      </c>
      <c r="D19" s="70" t="s">
        <v>57</v>
      </c>
      <c r="E19" s="70" t="s">
        <v>61</v>
      </c>
      <c r="F19" s="70" t="s">
        <v>61</v>
      </c>
      <c r="G19" s="70" t="s">
        <v>61</v>
      </c>
      <c r="H19" s="70" t="s">
        <v>61</v>
      </c>
      <c r="I19" s="71"/>
      <c r="J19" s="70" t="s">
        <v>51</v>
      </c>
      <c r="K19" s="70" t="s">
        <v>64</v>
      </c>
      <c r="L19" s="70" t="s">
        <v>61</v>
      </c>
      <c r="M19" s="70" t="s">
        <v>57</v>
      </c>
      <c r="N19" s="62"/>
      <c r="O19" s="62"/>
      <c r="P19" s="62"/>
      <c r="Q19" s="62"/>
    </row>
    <row r="20">
      <c r="A20" s="64">
        <v>18.0</v>
      </c>
      <c r="B20" s="72" t="s">
        <v>63</v>
      </c>
      <c r="C20" s="71"/>
      <c r="D20" s="70" t="s">
        <v>61</v>
      </c>
      <c r="E20" s="70" t="s">
        <v>59</v>
      </c>
      <c r="F20" s="71"/>
      <c r="G20" s="70" t="s">
        <v>65</v>
      </c>
      <c r="H20" s="71"/>
      <c r="I20" s="71"/>
      <c r="J20" s="70" t="s">
        <v>65</v>
      </c>
      <c r="K20" s="70" t="s">
        <v>59</v>
      </c>
      <c r="L20" s="71"/>
      <c r="M20" s="70" t="s">
        <v>61</v>
      </c>
      <c r="N20" s="62"/>
      <c r="O20" s="62"/>
      <c r="P20" s="62"/>
      <c r="Q20" s="62"/>
    </row>
    <row r="21">
      <c r="A21" s="64">
        <v>19.0</v>
      </c>
      <c r="B21" s="72" t="s">
        <v>61</v>
      </c>
      <c r="C21" s="71"/>
      <c r="D21" s="70" t="s">
        <v>65</v>
      </c>
      <c r="E21" s="70" t="s">
        <v>63</v>
      </c>
      <c r="F21" s="71"/>
      <c r="G21" s="71"/>
      <c r="H21" s="70" t="s">
        <v>64</v>
      </c>
      <c r="I21" s="71"/>
      <c r="J21" s="71"/>
      <c r="K21" s="70" t="s">
        <v>61</v>
      </c>
      <c r="L21" s="71"/>
      <c r="M21" s="70" t="s">
        <v>65</v>
      </c>
      <c r="N21" s="62"/>
      <c r="O21" s="62"/>
      <c r="P21" s="62"/>
      <c r="Q21" s="62"/>
    </row>
    <row r="22">
      <c r="A22" s="64">
        <v>20.0</v>
      </c>
      <c r="B22" s="69"/>
      <c r="C22" s="71"/>
      <c r="D22" s="71"/>
      <c r="E22" s="70" t="s">
        <v>64</v>
      </c>
      <c r="F22" s="71"/>
      <c r="G22" s="70" t="s">
        <v>62</v>
      </c>
      <c r="H22" s="71"/>
      <c r="I22" s="71"/>
      <c r="J22" s="71"/>
      <c r="K22" s="70" t="s">
        <v>63</v>
      </c>
      <c r="L22" s="71"/>
      <c r="M22" s="71"/>
      <c r="N22" s="62"/>
      <c r="O22" s="62"/>
      <c r="P22" s="62"/>
      <c r="Q22" s="62"/>
    </row>
    <row r="23">
      <c r="A23" s="64">
        <v>21.0</v>
      </c>
      <c r="B23" s="69"/>
      <c r="C23" s="71"/>
      <c r="D23" s="71"/>
      <c r="E23" s="73"/>
      <c r="F23" s="71"/>
      <c r="G23" s="71"/>
      <c r="H23" s="71"/>
      <c r="I23" s="71"/>
      <c r="J23" s="70" t="s">
        <v>66</v>
      </c>
      <c r="K23" s="71"/>
      <c r="L23" s="71"/>
      <c r="M23" s="71"/>
      <c r="N23" s="62"/>
      <c r="O23" s="62"/>
      <c r="P23" s="62"/>
      <c r="Q23" s="62"/>
    </row>
    <row r="24">
      <c r="A24" s="64">
        <v>22.0</v>
      </c>
      <c r="B24" s="69"/>
      <c r="C24" s="71"/>
      <c r="D24" s="70" t="s">
        <v>67</v>
      </c>
      <c r="E24" s="70" t="s">
        <v>68</v>
      </c>
      <c r="F24" s="71"/>
      <c r="G24" s="71"/>
      <c r="H24" s="70" t="s">
        <v>68</v>
      </c>
      <c r="I24" s="71"/>
      <c r="J24" s="71"/>
      <c r="K24" s="71"/>
      <c r="L24" s="70" t="s">
        <v>69</v>
      </c>
      <c r="M24" s="71"/>
      <c r="N24" s="62"/>
      <c r="O24" s="62"/>
      <c r="P24" s="62"/>
      <c r="Q24" s="62"/>
    </row>
    <row r="25">
      <c r="A25" s="64">
        <v>23.0</v>
      </c>
      <c r="B25" s="69"/>
      <c r="C25" s="70" t="s">
        <v>69</v>
      </c>
      <c r="D25" s="71"/>
      <c r="E25" s="70" t="s">
        <v>66</v>
      </c>
      <c r="F25" s="70" t="s">
        <v>69</v>
      </c>
      <c r="G25" s="70" t="s">
        <v>67</v>
      </c>
      <c r="H25" s="70" t="s">
        <v>66</v>
      </c>
      <c r="I25" s="70" t="s">
        <v>69</v>
      </c>
      <c r="J25" s="70" t="s">
        <v>67</v>
      </c>
      <c r="K25" s="71"/>
      <c r="L25" s="71"/>
      <c r="M25" s="70" t="s">
        <v>67</v>
      </c>
      <c r="N25" s="62"/>
      <c r="O25" s="62"/>
      <c r="P25" s="62"/>
      <c r="Q25" s="62"/>
    </row>
    <row r="26">
      <c r="A26" s="64">
        <v>24.0</v>
      </c>
      <c r="B26" s="72" t="s">
        <v>66</v>
      </c>
      <c r="C26" s="70" t="s">
        <v>70</v>
      </c>
      <c r="D26" s="71"/>
      <c r="E26" s="71"/>
      <c r="F26" s="70" t="s">
        <v>70</v>
      </c>
      <c r="G26" s="71"/>
      <c r="H26" s="71"/>
      <c r="I26" s="70" t="s">
        <v>70</v>
      </c>
      <c r="J26" s="71"/>
      <c r="K26" s="71"/>
      <c r="L26" s="70" t="s">
        <v>70</v>
      </c>
      <c r="M26" s="71"/>
      <c r="N26" s="62"/>
      <c r="O26" s="62"/>
      <c r="P26" s="62"/>
      <c r="Q26" s="62"/>
    </row>
    <row r="27">
      <c r="A27" s="64">
        <v>25.0</v>
      </c>
      <c r="B27" s="72" t="s">
        <v>71</v>
      </c>
      <c r="C27" s="70" t="s">
        <v>72</v>
      </c>
      <c r="D27" s="71"/>
      <c r="E27" s="70" t="s">
        <v>71</v>
      </c>
      <c r="F27" s="70" t="s">
        <v>73</v>
      </c>
      <c r="G27" s="71"/>
      <c r="H27" s="71"/>
      <c r="I27" s="70" t="s">
        <v>73</v>
      </c>
      <c r="J27" s="71"/>
      <c r="K27" s="70" t="s">
        <v>71</v>
      </c>
      <c r="L27" s="70" t="s">
        <v>72</v>
      </c>
      <c r="M27" s="71"/>
      <c r="N27" s="62"/>
      <c r="O27" s="62"/>
      <c r="P27" s="62"/>
      <c r="Q27" s="62"/>
    </row>
    <row r="28">
      <c r="A28" s="64">
        <v>26.0</v>
      </c>
      <c r="B28" s="72" t="s">
        <v>74</v>
      </c>
      <c r="C28" s="70" t="s">
        <v>71</v>
      </c>
      <c r="D28" s="71"/>
      <c r="E28" s="70" t="s">
        <v>74</v>
      </c>
      <c r="F28" s="71"/>
      <c r="G28" s="71"/>
      <c r="H28" s="70" t="s">
        <v>74</v>
      </c>
      <c r="I28" s="70" t="s">
        <v>72</v>
      </c>
      <c r="J28" s="71"/>
      <c r="K28" s="70" t="s">
        <v>74</v>
      </c>
      <c r="L28" s="71"/>
      <c r="M28" s="71"/>
      <c r="N28" s="62"/>
      <c r="O28" s="62"/>
      <c r="P28" s="62"/>
      <c r="Q28" s="62"/>
    </row>
    <row r="29">
      <c r="A29" s="64">
        <v>27.0</v>
      </c>
      <c r="B29" s="72" t="s">
        <v>75</v>
      </c>
      <c r="C29" s="70" t="s">
        <v>76</v>
      </c>
      <c r="D29" s="71"/>
      <c r="E29" s="70" t="s">
        <v>75</v>
      </c>
      <c r="F29" s="70" t="s">
        <v>72</v>
      </c>
      <c r="G29" s="70" t="s">
        <v>71</v>
      </c>
      <c r="H29" s="70" t="s">
        <v>75</v>
      </c>
      <c r="I29" s="71"/>
      <c r="J29" s="70" t="s">
        <v>71</v>
      </c>
      <c r="K29" s="70" t="s">
        <v>75</v>
      </c>
      <c r="L29" s="71"/>
      <c r="M29" s="71"/>
      <c r="N29" s="62"/>
      <c r="O29" s="62"/>
      <c r="P29" s="62"/>
      <c r="Q29" s="62"/>
    </row>
    <row r="30">
      <c r="A30" s="64">
        <v>28.0</v>
      </c>
      <c r="B30" s="72" t="s">
        <v>68</v>
      </c>
      <c r="C30" s="70" t="s">
        <v>73</v>
      </c>
      <c r="D30" s="70" t="s">
        <v>71</v>
      </c>
      <c r="E30" s="70" t="s">
        <v>77</v>
      </c>
      <c r="F30" s="71"/>
      <c r="G30" s="70" t="s">
        <v>78</v>
      </c>
      <c r="H30" s="70" t="s">
        <v>71</v>
      </c>
      <c r="I30" s="71"/>
      <c r="J30" s="70" t="s">
        <v>78</v>
      </c>
      <c r="K30" s="70" t="s">
        <v>68</v>
      </c>
      <c r="L30" s="70" t="s">
        <v>73</v>
      </c>
      <c r="M30" s="71"/>
      <c r="N30" s="62"/>
      <c r="O30" s="62"/>
      <c r="P30" s="62"/>
      <c r="Q30" s="62"/>
    </row>
    <row r="31">
      <c r="A31" s="64">
        <v>29.0</v>
      </c>
      <c r="B31" s="72" t="s">
        <v>79</v>
      </c>
      <c r="C31" s="74" t="s">
        <v>80</v>
      </c>
      <c r="D31" s="70" t="s">
        <v>78</v>
      </c>
      <c r="E31" s="70" t="s">
        <v>79</v>
      </c>
      <c r="F31" s="70" t="s">
        <v>71</v>
      </c>
      <c r="G31" s="70" t="s">
        <v>44</v>
      </c>
      <c r="H31" s="70" t="s">
        <v>77</v>
      </c>
      <c r="I31" s="71"/>
      <c r="J31" s="70" t="s">
        <v>44</v>
      </c>
      <c r="K31" s="70" t="s">
        <v>77</v>
      </c>
      <c r="L31" s="70" t="s">
        <v>71</v>
      </c>
      <c r="M31" s="70" t="s">
        <v>78</v>
      </c>
      <c r="N31" s="62"/>
      <c r="O31" s="62"/>
      <c r="P31" s="62"/>
      <c r="Q31" s="62"/>
    </row>
    <row r="32">
      <c r="A32" s="64">
        <v>30.0</v>
      </c>
      <c r="B32" s="72" t="s">
        <v>77</v>
      </c>
      <c r="C32" s="74" t="s">
        <v>80</v>
      </c>
      <c r="D32" s="70" t="s">
        <v>44</v>
      </c>
      <c r="E32" s="70" t="s">
        <v>76</v>
      </c>
      <c r="F32" s="70" t="s">
        <v>36</v>
      </c>
      <c r="G32" s="70" t="s">
        <v>76</v>
      </c>
      <c r="H32" s="70" t="s">
        <v>79</v>
      </c>
      <c r="I32" s="70" t="s">
        <v>71</v>
      </c>
      <c r="J32" s="70" t="s">
        <v>76</v>
      </c>
      <c r="K32" s="70" t="s">
        <v>79</v>
      </c>
      <c r="L32" s="70" t="s">
        <v>76</v>
      </c>
      <c r="M32" s="70" t="s">
        <v>71</v>
      </c>
      <c r="N32" s="62"/>
      <c r="O32" s="62"/>
      <c r="P32" s="62"/>
      <c r="Q32" s="62"/>
    </row>
    <row r="33">
      <c r="A33" s="64">
        <v>31.0</v>
      </c>
      <c r="B33" s="72" t="s">
        <v>76</v>
      </c>
      <c r="C33" s="74" t="s">
        <v>80</v>
      </c>
      <c r="D33" s="70" t="s">
        <v>76</v>
      </c>
      <c r="E33" s="74" t="s">
        <v>80</v>
      </c>
      <c r="F33" s="70" t="s">
        <v>76</v>
      </c>
      <c r="G33" s="74" t="s">
        <v>80</v>
      </c>
      <c r="H33" s="70" t="s">
        <v>76</v>
      </c>
      <c r="I33" s="70" t="s">
        <v>76</v>
      </c>
      <c r="J33" s="74" t="s">
        <v>80</v>
      </c>
      <c r="K33" s="70" t="s">
        <v>76</v>
      </c>
      <c r="L33" s="74" t="s">
        <v>80</v>
      </c>
      <c r="M33" s="70" t="s">
        <v>76</v>
      </c>
      <c r="N33" s="62"/>
      <c r="O33" s="62"/>
      <c r="P33" s="62"/>
      <c r="Q33" s="62"/>
    </row>
    <row r="34">
      <c r="A34" s="62"/>
      <c r="B34" s="62"/>
      <c r="C34" s="62"/>
      <c r="D34" s="62"/>
      <c r="E34" s="62"/>
      <c r="F34" s="62"/>
      <c r="G34" s="62"/>
      <c r="H34" s="62"/>
      <c r="I34" s="62"/>
      <c r="J34" s="62"/>
      <c r="K34" s="62"/>
      <c r="L34" s="62"/>
      <c r="M34" s="62"/>
      <c r="N34" s="62"/>
      <c r="O34" s="62"/>
      <c r="P34" s="62"/>
      <c r="Q34" s="62"/>
    </row>
    <row r="35">
      <c r="A35" s="62"/>
      <c r="B35" s="62"/>
      <c r="C35" s="62"/>
      <c r="D35" s="62"/>
      <c r="E35" s="62"/>
      <c r="F35" s="62"/>
      <c r="G35" s="62"/>
      <c r="H35" s="62"/>
      <c r="I35" s="62"/>
      <c r="J35" s="62"/>
      <c r="K35" s="62"/>
      <c r="L35" s="62"/>
      <c r="M35" s="62"/>
      <c r="N35" s="62"/>
      <c r="O35" s="62"/>
      <c r="P35" s="62"/>
      <c r="Q35" s="62"/>
    </row>
  </sheetData>
  <mergeCells count="1">
    <mergeCell ref="O3:Q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75"/>
    <col customWidth="1" min="2" max="2" width="16.0"/>
    <col customWidth="1" min="3" max="3" width="9.13"/>
    <col customWidth="1" min="4" max="4" width="17.25"/>
    <col customWidth="1" min="5" max="5" width="21.88"/>
    <col customWidth="1" min="6" max="6" width="17.25"/>
  </cols>
  <sheetData>
    <row r="1">
      <c r="A1" s="62"/>
      <c r="B1" s="62"/>
      <c r="C1" s="62"/>
      <c r="D1" s="75"/>
      <c r="E1" s="62"/>
      <c r="F1" s="62"/>
      <c r="G1" s="62"/>
    </row>
    <row r="2">
      <c r="A2" s="76" t="s">
        <v>81</v>
      </c>
      <c r="B2" s="76" t="s">
        <v>82</v>
      </c>
      <c r="C2" s="76" t="s">
        <v>83</v>
      </c>
      <c r="D2" s="77" t="s">
        <v>84</v>
      </c>
      <c r="E2" s="76" t="s">
        <v>85</v>
      </c>
      <c r="F2" s="76" t="s">
        <v>86</v>
      </c>
      <c r="G2" s="62"/>
    </row>
    <row r="3">
      <c r="A3" s="78" t="str">
        <f t="shared" ref="A3:A52" si="1">YHFINANCE(B3,"Longname",FALSE)</f>
        <v>Apple Inc.</v>
      </c>
      <c r="B3" s="79" t="s">
        <v>52</v>
      </c>
      <c r="C3" s="80">
        <f t="shared" ref="C3:C52" si="2">YHFINANCE(B3,"currentprice",FALSE)</f>
        <v>270.37</v>
      </c>
      <c r="D3" s="80">
        <f t="shared" ref="D3:D52" si="3">YHFINANCE(B3,"trailingAnnualDividendRate",FALSE)</f>
        <v>1.02</v>
      </c>
      <c r="E3" s="81">
        <f t="shared" ref="E3:E52" si="4">YHFINANCE(B3,"DividendYield",FALSE)</f>
        <v>0.0038</v>
      </c>
      <c r="F3" s="78" t="str">
        <f t="shared" ref="F3:F52" si="5">YHFINANCE(B3,"Sector",FALSE)</f>
        <v>Technology</v>
      </c>
      <c r="G3" s="62"/>
    </row>
    <row r="4">
      <c r="A4" s="78" t="str">
        <f t="shared" si="1"/>
        <v>Realty Income Corporation</v>
      </c>
      <c r="B4" s="79" t="s">
        <v>58</v>
      </c>
      <c r="C4" s="80">
        <f t="shared" si="2"/>
        <v>57.98</v>
      </c>
      <c r="D4" s="80">
        <f t="shared" si="3"/>
        <v>3.187</v>
      </c>
      <c r="E4" s="81">
        <f t="shared" si="4"/>
        <v>0.0558</v>
      </c>
      <c r="F4" s="78" t="str">
        <f t="shared" si="5"/>
        <v>Real Estate</v>
      </c>
      <c r="G4" s="62"/>
    </row>
    <row r="5">
      <c r="A5" s="78" t="str">
        <f t="shared" si="1"/>
        <v>Johnson &amp; Johnson</v>
      </c>
      <c r="B5" s="79" t="s">
        <v>43</v>
      </c>
      <c r="C5" s="80">
        <f t="shared" si="2"/>
        <v>188.87</v>
      </c>
      <c r="D5" s="80">
        <f t="shared" si="3"/>
        <v>5.08</v>
      </c>
      <c r="E5" s="81">
        <f t="shared" si="4"/>
        <v>0.0275</v>
      </c>
      <c r="F5" s="78" t="str">
        <f t="shared" si="5"/>
        <v>Healthcare</v>
      </c>
      <c r="G5" s="62"/>
    </row>
    <row r="6">
      <c r="A6" s="78" t="str">
        <f t="shared" si="1"/>
        <v>Canadian Natural Resources Limited</v>
      </c>
      <c r="B6" s="79" t="s">
        <v>42</v>
      </c>
      <c r="C6" s="80">
        <f t="shared" si="2"/>
        <v>32.02</v>
      </c>
      <c r="D6" s="80">
        <f t="shared" si="3"/>
        <v>2.788</v>
      </c>
      <c r="E6" s="81">
        <f t="shared" si="4"/>
        <v>0.052600004</v>
      </c>
      <c r="F6" s="78" t="str">
        <f t="shared" si="5"/>
        <v>Energy</v>
      </c>
      <c r="G6" s="62"/>
    </row>
    <row r="7">
      <c r="A7" s="78" t="str">
        <f t="shared" si="1"/>
        <v>PepsiCo, Inc.</v>
      </c>
      <c r="B7" s="79" t="s">
        <v>44</v>
      </c>
      <c r="C7" s="80">
        <f t="shared" si="2"/>
        <v>146.09</v>
      </c>
      <c r="D7" s="80">
        <f t="shared" si="3"/>
        <v>5.555</v>
      </c>
      <c r="E7" s="81">
        <f t="shared" si="4"/>
        <v>0.038900003</v>
      </c>
      <c r="F7" s="78" t="str">
        <f t="shared" si="5"/>
        <v>Consumer Defensive</v>
      </c>
      <c r="G7" s="62"/>
    </row>
    <row r="8">
      <c r="A8" s="78" t="str">
        <f t="shared" si="1"/>
        <v>The Procter &amp; Gamble Company</v>
      </c>
      <c r="B8" s="79" t="s">
        <v>60</v>
      </c>
      <c r="C8" s="80">
        <f t="shared" si="2"/>
        <v>150.37</v>
      </c>
      <c r="D8" s="80">
        <f t="shared" si="3"/>
        <v>4.127</v>
      </c>
      <c r="E8" s="81">
        <f t="shared" si="4"/>
        <v>0.028099999</v>
      </c>
      <c r="F8" s="78" t="str">
        <f t="shared" si="5"/>
        <v>Consumer Defensive</v>
      </c>
      <c r="G8" s="62"/>
    </row>
    <row r="9">
      <c r="A9" s="78" t="str">
        <f t="shared" si="1"/>
        <v>LTC Properties, Inc.</v>
      </c>
      <c r="B9" s="79" t="s">
        <v>76</v>
      </c>
      <c r="C9" s="80">
        <f t="shared" si="2"/>
        <v>35.08</v>
      </c>
      <c r="D9" s="80">
        <f t="shared" si="3"/>
        <v>2.28</v>
      </c>
      <c r="E9" s="81">
        <f t="shared" si="4"/>
        <v>0.065</v>
      </c>
      <c r="F9" s="78" t="str">
        <f t="shared" si="5"/>
        <v>Real Estate</v>
      </c>
      <c r="G9" s="62"/>
    </row>
    <row r="10">
      <c r="A10" s="78" t="str">
        <f t="shared" si="1"/>
        <v>McDonald's Corporation</v>
      </c>
      <c r="B10" s="79" t="s">
        <v>62</v>
      </c>
      <c r="C10" s="80">
        <f t="shared" si="2"/>
        <v>298.43</v>
      </c>
      <c r="D10" s="80">
        <f t="shared" si="3"/>
        <v>6.98</v>
      </c>
      <c r="E10" s="81">
        <f t="shared" si="4"/>
        <v>0.0249</v>
      </c>
      <c r="F10" s="78" t="str">
        <f t="shared" si="5"/>
        <v>Consumer Cyclical</v>
      </c>
      <c r="G10" s="62"/>
    </row>
    <row r="11">
      <c r="A11" s="78" t="str">
        <f t="shared" si="1"/>
        <v>JPMorgan Chase &amp; Co.</v>
      </c>
      <c r="B11" s="79" t="s">
        <v>79</v>
      </c>
      <c r="C11" s="80">
        <f t="shared" si="2"/>
        <v>311.12</v>
      </c>
      <c r="D11" s="80">
        <f t="shared" si="3"/>
        <v>5.55</v>
      </c>
      <c r="E11" s="81">
        <f t="shared" si="4"/>
        <v>0.019299999</v>
      </c>
      <c r="F11" s="78" t="str">
        <f t="shared" si="5"/>
        <v>Financial Services</v>
      </c>
      <c r="G11" s="62"/>
    </row>
    <row r="12">
      <c r="A12" s="78" t="str">
        <f t="shared" si="1"/>
        <v>The Coca-Cola Company</v>
      </c>
      <c r="B12" s="79" t="s">
        <v>35</v>
      </c>
      <c r="C12" s="80">
        <f t="shared" si="2"/>
        <v>68.9</v>
      </c>
      <c r="D12" s="80">
        <f t="shared" si="3"/>
        <v>2.015</v>
      </c>
      <c r="E12" s="81">
        <f t="shared" si="4"/>
        <v>0.0296</v>
      </c>
      <c r="F12" s="78" t="str">
        <f t="shared" si="5"/>
        <v>Consumer Defensive</v>
      </c>
      <c r="G12" s="62"/>
    </row>
    <row r="13">
      <c r="A13" s="78" t="str">
        <f t="shared" si="1"/>
        <v>Mastercard Incorporated</v>
      </c>
      <c r="B13" s="79" t="s">
        <v>45</v>
      </c>
      <c r="C13" s="80">
        <f t="shared" si="2"/>
        <v>551.99</v>
      </c>
      <c r="D13" s="80">
        <f t="shared" si="3"/>
        <v>3.04</v>
      </c>
      <c r="E13" s="81">
        <f t="shared" si="4"/>
        <v>0.0055</v>
      </c>
      <c r="F13" s="78" t="str">
        <f t="shared" si="5"/>
        <v>Financial Services</v>
      </c>
      <c r="G13" s="62"/>
    </row>
    <row r="14">
      <c r="A14" s="78" t="str">
        <f t="shared" si="1"/>
        <v>International Business Machines Corporation</v>
      </c>
      <c r="B14" s="79" t="s">
        <v>50</v>
      </c>
      <c r="C14" s="80">
        <f t="shared" si="2"/>
        <v>307.41</v>
      </c>
      <c r="D14" s="80">
        <f t="shared" si="3"/>
        <v>6.7</v>
      </c>
      <c r="E14" s="81">
        <f t="shared" si="4"/>
        <v>0.0219</v>
      </c>
      <c r="F14" s="78" t="str">
        <f t="shared" si="5"/>
        <v>Technology</v>
      </c>
      <c r="G14" s="62"/>
    </row>
    <row r="15">
      <c r="A15" s="78" t="str">
        <f t="shared" si="1"/>
        <v>Cardinal Health, Inc.</v>
      </c>
      <c r="B15" s="79" t="s">
        <v>59</v>
      </c>
      <c r="C15" s="80">
        <f t="shared" si="2"/>
        <v>190.77</v>
      </c>
      <c r="D15" s="80">
        <f t="shared" si="3"/>
        <v>2.033</v>
      </c>
      <c r="E15" s="81">
        <f t="shared" si="4"/>
        <v>0.0107</v>
      </c>
      <c r="F15" s="78" t="str">
        <f t="shared" si="5"/>
        <v>Healthcare</v>
      </c>
      <c r="G15" s="62"/>
    </row>
    <row r="16">
      <c r="A16" s="78" t="str">
        <f t="shared" si="1"/>
        <v>General Dynamics Corporation</v>
      </c>
      <c r="B16" s="79" t="s">
        <v>40</v>
      </c>
      <c r="C16" s="80">
        <f t="shared" si="2"/>
        <v>344.9</v>
      </c>
      <c r="D16" s="80">
        <f t="shared" si="3"/>
        <v>5.92</v>
      </c>
      <c r="E16" s="81">
        <f t="shared" si="4"/>
        <v>0.0174</v>
      </c>
      <c r="F16" s="78" t="str">
        <f t="shared" si="5"/>
        <v>Industrials</v>
      </c>
      <c r="G16" s="62"/>
    </row>
    <row r="17">
      <c r="A17" s="78" t="str">
        <f t="shared" si="1"/>
        <v>Royal Bank of Canada</v>
      </c>
      <c r="B17" s="79" t="s">
        <v>70</v>
      </c>
      <c r="C17" s="80">
        <f t="shared" si="2"/>
        <v>146.5</v>
      </c>
      <c r="D17" s="80">
        <f t="shared" si="3"/>
        <v>5.92</v>
      </c>
      <c r="E17" s="81">
        <f t="shared" si="4"/>
        <v>0.03</v>
      </c>
      <c r="F17" s="78" t="str">
        <f t="shared" si="5"/>
        <v>Financial Services</v>
      </c>
      <c r="G17" s="62"/>
    </row>
    <row r="18">
      <c r="A18" s="78" t="str">
        <f t="shared" si="1"/>
        <v>Bank of Montreal</v>
      </c>
      <c r="B18" s="79" t="s">
        <v>73</v>
      </c>
      <c r="C18" s="80">
        <f t="shared" si="2"/>
        <v>124.18</v>
      </c>
      <c r="D18" s="80">
        <f t="shared" si="3"/>
        <v>6.36</v>
      </c>
      <c r="E18" s="81">
        <f t="shared" si="4"/>
        <v>0.0377</v>
      </c>
      <c r="F18" s="78" t="str">
        <f t="shared" si="5"/>
        <v>Financial Services</v>
      </c>
      <c r="G18" s="62"/>
    </row>
    <row r="19">
      <c r="A19" s="78" t="str">
        <f t="shared" si="1"/>
        <v>Microsoft Corporation</v>
      </c>
      <c r="B19" s="79" t="s">
        <v>41</v>
      </c>
      <c r="C19" s="80">
        <f t="shared" si="2"/>
        <v>517.81</v>
      </c>
      <c r="D19" s="80">
        <f t="shared" si="3"/>
        <v>3.4</v>
      </c>
      <c r="E19" s="81">
        <f t="shared" si="4"/>
        <v>0.0069999998</v>
      </c>
      <c r="F19" s="78" t="str">
        <f t="shared" si="5"/>
        <v>Technology</v>
      </c>
      <c r="G19" s="62"/>
    </row>
    <row r="20">
      <c r="A20" s="78" t="str">
        <f t="shared" si="1"/>
        <v>The Bank of Nova Scotia</v>
      </c>
      <c r="B20" s="79" t="s">
        <v>75</v>
      </c>
      <c r="C20" s="80">
        <f t="shared" si="2"/>
        <v>65.6</v>
      </c>
      <c r="D20" s="80">
        <f t="shared" si="3"/>
        <v>4.28</v>
      </c>
      <c r="E20" s="81">
        <f t="shared" si="4"/>
        <v>0.0481</v>
      </c>
      <c r="F20" s="78" t="str">
        <f t="shared" si="5"/>
        <v>Financial Services</v>
      </c>
      <c r="G20" s="62"/>
    </row>
    <row r="21">
      <c r="A21" s="78" t="str">
        <f t="shared" si="1"/>
        <v>Chubb Limited</v>
      </c>
      <c r="B21" s="79" t="s">
        <v>47</v>
      </c>
      <c r="C21" s="80">
        <f t="shared" si="2"/>
        <v>276.94</v>
      </c>
      <c r="D21" s="80">
        <f t="shared" si="3"/>
        <v>3.76</v>
      </c>
      <c r="E21" s="81">
        <f t="shared" si="4"/>
        <v>0.0139999995</v>
      </c>
      <c r="F21" s="78" t="str">
        <f t="shared" si="5"/>
        <v>Financial Services</v>
      </c>
      <c r="G21" s="62"/>
    </row>
    <row r="22">
      <c r="A22" s="78" t="str">
        <f t="shared" si="1"/>
        <v>Lowe's Companies, Inc.</v>
      </c>
      <c r="B22" s="79" t="s">
        <v>33</v>
      </c>
      <c r="C22" s="80">
        <f t="shared" si="2"/>
        <v>238.13</v>
      </c>
      <c r="D22" s="80">
        <f t="shared" si="3"/>
        <v>4.65</v>
      </c>
      <c r="E22" s="81">
        <f t="shared" si="4"/>
        <v>0.0202</v>
      </c>
      <c r="F22" s="78" t="str">
        <f t="shared" si="5"/>
        <v>Consumer Cyclical</v>
      </c>
      <c r="G22" s="62"/>
    </row>
    <row r="23">
      <c r="A23" s="78" t="str">
        <f t="shared" si="1"/>
        <v>Sysco Corporation</v>
      </c>
      <c r="B23" s="79" t="s">
        <v>68</v>
      </c>
      <c r="C23" s="80">
        <f t="shared" si="2"/>
        <v>74.28</v>
      </c>
      <c r="D23" s="80">
        <f t="shared" si="3"/>
        <v>2.1</v>
      </c>
      <c r="E23" s="81">
        <f t="shared" si="4"/>
        <v>0.0291</v>
      </c>
      <c r="F23" s="78" t="str">
        <f t="shared" si="5"/>
        <v>Consumer Defensive</v>
      </c>
      <c r="G23" s="62"/>
    </row>
    <row r="24">
      <c r="A24" s="78" t="str">
        <f t="shared" si="1"/>
        <v>Illinois Tool Works Inc.</v>
      </c>
      <c r="B24" s="79" t="s">
        <v>56</v>
      </c>
      <c r="C24" s="80">
        <f t="shared" si="2"/>
        <v>243.92</v>
      </c>
      <c r="D24" s="80">
        <f t="shared" si="3"/>
        <v>6.11</v>
      </c>
      <c r="E24" s="81">
        <f t="shared" si="4"/>
        <v>0.026400002</v>
      </c>
      <c r="F24" s="78" t="str">
        <f t="shared" si="5"/>
        <v>Industrials</v>
      </c>
      <c r="G24" s="62"/>
    </row>
    <row r="25">
      <c r="A25" s="78" t="str">
        <f t="shared" si="1"/>
        <v>Walmart Inc.</v>
      </c>
      <c r="B25" s="79" t="s">
        <v>36</v>
      </c>
      <c r="C25" s="80">
        <f t="shared" si="2"/>
        <v>101.18</v>
      </c>
      <c r="D25" s="80">
        <f t="shared" si="3"/>
        <v>0.885</v>
      </c>
      <c r="E25" s="81">
        <f t="shared" si="4"/>
        <v>0.0093</v>
      </c>
      <c r="F25" s="78" t="str">
        <f t="shared" si="5"/>
        <v>Consumer Defensive</v>
      </c>
      <c r="G25" s="62"/>
    </row>
    <row r="26">
      <c r="A26" s="78" t="str">
        <f t="shared" si="1"/>
        <v>Kimberly-Clark Corporation</v>
      </c>
      <c r="B26" s="79" t="s">
        <v>39</v>
      </c>
      <c r="C26" s="80">
        <f t="shared" si="2"/>
        <v>119.71</v>
      </c>
      <c r="D26" s="80">
        <f t="shared" si="3"/>
        <v>5</v>
      </c>
      <c r="E26" s="81">
        <f t="shared" si="4"/>
        <v>0.0421</v>
      </c>
      <c r="F26" s="78" t="str">
        <f t="shared" si="5"/>
        <v>Consumer Defensive</v>
      </c>
      <c r="G26" s="62"/>
    </row>
    <row r="27">
      <c r="A27" s="78" t="str">
        <f t="shared" si="1"/>
        <v>BlackRock, Inc.</v>
      </c>
      <c r="B27" s="79" t="s">
        <v>67</v>
      </c>
      <c r="C27" s="80">
        <f t="shared" si="2"/>
        <v>1082.81</v>
      </c>
      <c r="D27" s="80">
        <f t="shared" si="3"/>
        <v>20.73</v>
      </c>
      <c r="E27" s="81">
        <f t="shared" si="4"/>
        <v>0.019199999</v>
      </c>
      <c r="F27" s="78" t="str">
        <f t="shared" si="5"/>
        <v>Financial Services</v>
      </c>
      <c r="G27" s="62"/>
    </row>
    <row r="28">
      <c r="A28" s="78" t="str">
        <f t="shared" si="1"/>
        <v>Main Street Capital Corporation</v>
      </c>
      <c r="B28" s="79" t="s">
        <v>57</v>
      </c>
      <c r="C28" s="80">
        <f t="shared" si="2"/>
        <v>56.92</v>
      </c>
      <c r="D28" s="80">
        <f t="shared" si="3"/>
        <v>2.97</v>
      </c>
      <c r="E28" s="81">
        <f t="shared" si="4"/>
        <v>0.0748</v>
      </c>
      <c r="F28" s="78" t="str">
        <f t="shared" si="5"/>
        <v>Financial Services</v>
      </c>
      <c r="G28" s="62"/>
    </row>
    <row r="29">
      <c r="A29" s="78" t="str">
        <f t="shared" si="1"/>
        <v>Automatic Data Processing, Inc.</v>
      </c>
      <c r="B29" s="79" t="s">
        <v>29</v>
      </c>
      <c r="C29" s="80">
        <f t="shared" si="2"/>
        <v>260.3</v>
      </c>
      <c r="D29" s="80">
        <f t="shared" si="3"/>
        <v>6.16</v>
      </c>
      <c r="E29" s="81">
        <f t="shared" si="4"/>
        <v>0.023699999</v>
      </c>
      <c r="F29" s="78" t="str">
        <f t="shared" si="5"/>
        <v>Technology</v>
      </c>
      <c r="H29" s="81"/>
      <c r="I29" s="78"/>
      <c r="J29" s="62"/>
    </row>
    <row r="30">
      <c r="A30" s="78" t="str">
        <f t="shared" si="1"/>
        <v>Starbucks Corporation</v>
      </c>
      <c r="B30" s="79" t="s">
        <v>72</v>
      </c>
      <c r="C30" s="80">
        <f t="shared" si="2"/>
        <v>80.87</v>
      </c>
      <c r="D30" s="80">
        <f t="shared" si="3"/>
        <v>2.44</v>
      </c>
      <c r="E30" s="81">
        <f t="shared" si="4"/>
        <v>0.0307</v>
      </c>
      <c r="F30" s="78" t="str">
        <f t="shared" si="5"/>
        <v>Consumer Cyclical</v>
      </c>
      <c r="G30" s="62"/>
    </row>
    <row r="31">
      <c r="A31" s="78" t="str">
        <f t="shared" si="1"/>
        <v>Ecolab Inc.</v>
      </c>
      <c r="B31" s="79" t="s">
        <v>63</v>
      </c>
      <c r="C31" s="80">
        <f t="shared" si="2"/>
        <v>256.4</v>
      </c>
      <c r="D31" s="80">
        <f t="shared" si="3"/>
        <v>2.6</v>
      </c>
      <c r="E31" s="81">
        <f t="shared" si="4"/>
        <v>0.0101</v>
      </c>
      <c r="F31" s="78" t="str">
        <f t="shared" si="5"/>
        <v>Basic Materials</v>
      </c>
      <c r="G31" s="62"/>
    </row>
    <row r="32">
      <c r="A32" s="78" t="str">
        <f t="shared" si="1"/>
        <v>Chevron Corporation</v>
      </c>
      <c r="B32" s="79" t="s">
        <v>53</v>
      </c>
      <c r="C32" s="80">
        <f t="shared" si="2"/>
        <v>157.72</v>
      </c>
      <c r="D32" s="80">
        <f t="shared" si="3"/>
        <v>6.76</v>
      </c>
      <c r="E32" s="81">
        <f t="shared" si="4"/>
        <v>0.0434</v>
      </c>
      <c r="F32" s="78" t="str">
        <f t="shared" si="5"/>
        <v>Energy</v>
      </c>
      <c r="G32" s="62"/>
    </row>
    <row r="33">
      <c r="A33" s="78" t="str">
        <f t="shared" si="1"/>
        <v>SLB N.V.</v>
      </c>
      <c r="B33" s="79" t="s">
        <v>46</v>
      </c>
      <c r="C33" s="80">
        <f t="shared" si="2"/>
        <v>36.06</v>
      </c>
      <c r="D33" s="80">
        <f t="shared" si="3"/>
        <v>1.13</v>
      </c>
      <c r="E33" s="81">
        <f t="shared" si="4"/>
        <v>0.031600002</v>
      </c>
      <c r="F33" s="78" t="str">
        <f t="shared" si="5"/>
        <v>Energy</v>
      </c>
      <c r="G33" s="62"/>
    </row>
    <row r="34">
      <c r="A34" s="78" t="str">
        <f t="shared" si="1"/>
        <v>Duke Energy Corporation</v>
      </c>
      <c r="B34" s="79" t="s">
        <v>65</v>
      </c>
      <c r="C34" s="80">
        <f t="shared" si="2"/>
        <v>124.3</v>
      </c>
      <c r="D34" s="80">
        <f t="shared" si="3"/>
        <v>4.18</v>
      </c>
      <c r="E34" s="81">
        <f t="shared" si="4"/>
        <v>0.0343</v>
      </c>
      <c r="F34" s="78" t="str">
        <f t="shared" si="5"/>
        <v>Utilities</v>
      </c>
      <c r="G34" s="62"/>
    </row>
    <row r="35">
      <c r="A35" s="78" t="str">
        <f t="shared" si="1"/>
        <v>AGNC Investment Corp.</v>
      </c>
      <c r="B35" s="79" t="s">
        <v>48</v>
      </c>
      <c r="C35" s="80">
        <f t="shared" si="2"/>
        <v>10</v>
      </c>
      <c r="D35" s="80">
        <f t="shared" si="3"/>
        <v>1.44</v>
      </c>
      <c r="E35" s="81">
        <f t="shared" si="4"/>
        <v>0.1439</v>
      </c>
      <c r="F35" s="78" t="str">
        <f t="shared" si="5"/>
        <v>Real Estate</v>
      </c>
      <c r="G35" s="62"/>
    </row>
    <row r="36">
      <c r="A36" s="78" t="str">
        <f t="shared" si="1"/>
        <v>STAG Industrial, Inc.</v>
      </c>
      <c r="B36" s="79" t="s">
        <v>61</v>
      </c>
      <c r="C36" s="80">
        <f t="shared" si="2"/>
        <v>38.27</v>
      </c>
      <c r="D36" s="80">
        <f t="shared" si="3"/>
        <v>1.487</v>
      </c>
      <c r="E36" s="81">
        <f t="shared" si="4"/>
        <v>0.038900003</v>
      </c>
      <c r="F36" s="78" t="str">
        <f t="shared" si="5"/>
        <v>Real Estate</v>
      </c>
      <c r="G36" s="62"/>
    </row>
    <row r="37">
      <c r="A37" s="78" t="str">
        <f t="shared" si="1"/>
        <v>Aflac Incorporated</v>
      </c>
      <c r="B37" s="79" t="s">
        <v>31</v>
      </c>
      <c r="C37" s="80">
        <f t="shared" si="2"/>
        <v>107.19</v>
      </c>
      <c r="D37" s="80">
        <f t="shared" si="3"/>
        <v>2.16</v>
      </c>
      <c r="E37" s="81">
        <f t="shared" si="4"/>
        <v>0.0216</v>
      </c>
      <c r="F37" s="78" t="str">
        <f t="shared" si="5"/>
        <v>Financial Services</v>
      </c>
      <c r="G37" s="62"/>
    </row>
    <row r="38">
      <c r="A38" s="78" t="str">
        <f t="shared" si="1"/>
        <v>PPG Industries, Inc.</v>
      </c>
      <c r="B38" s="79" t="s">
        <v>55</v>
      </c>
      <c r="C38" s="80">
        <f t="shared" si="2"/>
        <v>97.75</v>
      </c>
      <c r="D38" s="80">
        <f t="shared" si="3"/>
        <v>2.75</v>
      </c>
      <c r="E38" s="81">
        <f t="shared" si="4"/>
        <v>0.0291</v>
      </c>
      <c r="F38" s="78" t="str">
        <f t="shared" si="5"/>
        <v>Basic Materials</v>
      </c>
      <c r="G38" s="62"/>
    </row>
    <row r="39">
      <c r="A39" s="78" t="str">
        <f t="shared" si="1"/>
        <v>Pentair plc</v>
      </c>
      <c r="B39" s="79" t="s">
        <v>38</v>
      </c>
      <c r="C39" s="80">
        <f t="shared" si="2"/>
        <v>106.35</v>
      </c>
      <c r="D39" s="80">
        <f t="shared" si="3"/>
        <v>0.98</v>
      </c>
      <c r="E39" s="81">
        <f t="shared" si="4"/>
        <v>0.0094</v>
      </c>
      <c r="F39" s="78" t="str">
        <f t="shared" si="5"/>
        <v>Industrials</v>
      </c>
      <c r="G39" s="62"/>
    </row>
    <row r="40">
      <c r="A40" s="78" t="str">
        <f t="shared" si="1"/>
        <v>Nucor Corporation</v>
      </c>
      <c r="B40" s="79" t="s">
        <v>54</v>
      </c>
      <c r="C40" s="80">
        <f t="shared" si="2"/>
        <v>150.05</v>
      </c>
      <c r="D40" s="80">
        <f t="shared" si="3"/>
        <v>2.2</v>
      </c>
      <c r="E40" s="81">
        <f t="shared" si="4"/>
        <v>0.0147</v>
      </c>
      <c r="F40" s="78" t="str">
        <f t="shared" si="5"/>
        <v>Basic Materials</v>
      </c>
      <c r="G40" s="62"/>
    </row>
    <row r="41">
      <c r="A41" s="78" t="str">
        <f t="shared" si="1"/>
        <v>Emerson Electric Co.</v>
      </c>
      <c r="B41" s="79" t="s">
        <v>49</v>
      </c>
      <c r="C41" s="80">
        <f t="shared" si="2"/>
        <v>139.57</v>
      </c>
      <c r="D41" s="80">
        <f t="shared" si="3"/>
        <v>2.108</v>
      </c>
      <c r="E41" s="81">
        <f t="shared" si="4"/>
        <v>0.0150999995</v>
      </c>
      <c r="F41" s="78" t="str">
        <f t="shared" si="5"/>
        <v>Industrials</v>
      </c>
      <c r="G41" s="62"/>
    </row>
    <row r="42">
      <c r="A42" s="78" t="str">
        <f t="shared" si="1"/>
        <v>Citigroup Inc.</v>
      </c>
      <c r="B42" s="79" t="s">
        <v>69</v>
      </c>
      <c r="C42" s="80">
        <f t="shared" si="2"/>
        <v>101.23</v>
      </c>
      <c r="D42" s="80">
        <f t="shared" si="3"/>
        <v>2.28</v>
      </c>
      <c r="E42" s="81">
        <f t="shared" si="4"/>
        <v>0.023699999</v>
      </c>
      <c r="F42" s="78" t="str">
        <f t="shared" si="5"/>
        <v>Financial Services</v>
      </c>
      <c r="G42" s="62"/>
    </row>
    <row r="43">
      <c r="A43" s="78" t="str">
        <f t="shared" si="1"/>
        <v>T. Rowe Price Group, Inc.</v>
      </c>
      <c r="B43" s="79" t="s">
        <v>78</v>
      </c>
      <c r="C43" s="80">
        <f t="shared" si="2"/>
        <v>102.53</v>
      </c>
      <c r="D43" s="80">
        <f t="shared" si="3"/>
        <v>5.05</v>
      </c>
      <c r="E43" s="81">
        <f t="shared" si="4"/>
        <v>0.0495</v>
      </c>
      <c r="F43" s="78" t="str">
        <f t="shared" si="5"/>
        <v>Financial Services</v>
      </c>
      <c r="G43" s="62"/>
    </row>
    <row r="44">
      <c r="A44" s="78" t="str">
        <f t="shared" si="1"/>
        <v>Royal Gold, Inc.</v>
      </c>
      <c r="B44" s="79" t="s">
        <v>64</v>
      </c>
      <c r="C44" s="80">
        <f t="shared" si="2"/>
        <v>174.79</v>
      </c>
      <c r="D44" s="80">
        <f t="shared" si="3"/>
        <v>0.6</v>
      </c>
      <c r="E44" s="81">
        <f t="shared" si="4"/>
        <v>0.010299999</v>
      </c>
      <c r="F44" s="78" t="str">
        <f t="shared" si="5"/>
        <v>Basic Materials</v>
      </c>
      <c r="G44" s="62"/>
    </row>
    <row r="45">
      <c r="A45" s="78" t="str">
        <f t="shared" si="1"/>
        <v>The Toronto-Dominion Bank</v>
      </c>
      <c r="B45" s="79" t="s">
        <v>77</v>
      </c>
      <c r="C45" s="80">
        <f t="shared" si="2"/>
        <v>82.13</v>
      </c>
      <c r="D45" s="80">
        <f t="shared" si="3"/>
        <v>4.17</v>
      </c>
      <c r="E45" s="81">
        <f t="shared" si="4"/>
        <v>0.0365</v>
      </c>
      <c r="F45" s="78" t="str">
        <f t="shared" si="5"/>
        <v>Financial Services</v>
      </c>
      <c r="G45" s="62"/>
    </row>
    <row r="46">
      <c r="A46" s="78" t="str">
        <f t="shared" si="1"/>
        <v>Cisco Systems, Inc.</v>
      </c>
      <c r="B46" s="79" t="s">
        <v>74</v>
      </c>
      <c r="C46" s="80">
        <f t="shared" si="2"/>
        <v>73.11</v>
      </c>
      <c r="D46" s="80">
        <f t="shared" si="3"/>
        <v>1.62</v>
      </c>
      <c r="E46" s="81">
        <f t="shared" si="4"/>
        <v>0.0224</v>
      </c>
      <c r="F46" s="78" t="str">
        <f t="shared" si="5"/>
        <v>Technology</v>
      </c>
      <c r="G46" s="62"/>
    </row>
    <row r="47">
      <c r="A47" s="78" t="str">
        <f t="shared" si="1"/>
        <v>Bristol-Myers Squibb Company</v>
      </c>
      <c r="B47" s="79" t="s">
        <v>30</v>
      </c>
      <c r="C47" s="80">
        <f t="shared" si="2"/>
        <v>46.07</v>
      </c>
      <c r="D47" s="80">
        <f t="shared" si="3"/>
        <v>2.48</v>
      </c>
      <c r="E47" s="81">
        <f t="shared" si="4"/>
        <v>0.0538</v>
      </c>
      <c r="F47" s="78" t="str">
        <f t="shared" si="5"/>
        <v>Healthcare</v>
      </c>
      <c r="G47" s="62"/>
    </row>
    <row r="48">
      <c r="A48" s="78" t="str">
        <f t="shared" si="1"/>
        <v>Gladstone Commercial Corporation</v>
      </c>
      <c r="B48" s="79" t="s">
        <v>71</v>
      </c>
      <c r="C48" s="80">
        <f t="shared" si="2"/>
        <v>11.43</v>
      </c>
      <c r="D48" s="80">
        <f t="shared" si="3"/>
        <v>1.2</v>
      </c>
      <c r="E48" s="81">
        <f t="shared" si="4"/>
        <v>0.105</v>
      </c>
      <c r="F48" s="78" t="str">
        <f t="shared" si="5"/>
        <v>Real Estate</v>
      </c>
      <c r="G48" s="62"/>
    </row>
    <row r="49">
      <c r="A49" s="78" t="str">
        <f t="shared" si="1"/>
        <v>W.W. Grainger, Inc.</v>
      </c>
      <c r="B49" s="79" t="s">
        <v>34</v>
      </c>
      <c r="C49" s="80">
        <f t="shared" si="2"/>
        <v>979</v>
      </c>
      <c r="D49" s="80">
        <f t="shared" si="3"/>
        <v>8.62</v>
      </c>
      <c r="E49" s="81">
        <f t="shared" si="4"/>
        <v>0.0092</v>
      </c>
      <c r="F49" s="78" t="str">
        <f t="shared" si="5"/>
        <v>Industrials</v>
      </c>
      <c r="G49" s="62"/>
    </row>
    <row r="50">
      <c r="A50" s="78" t="str">
        <f t="shared" si="1"/>
        <v>Agree Realty Corporation</v>
      </c>
      <c r="B50" s="79" t="s">
        <v>51</v>
      </c>
      <c r="C50" s="80">
        <f t="shared" si="2"/>
        <v>73.01</v>
      </c>
      <c r="D50" s="80">
        <f t="shared" si="3"/>
        <v>3.054</v>
      </c>
      <c r="E50" s="81">
        <f t="shared" si="4"/>
        <v>0.0431</v>
      </c>
      <c r="F50" s="78" t="str">
        <f t="shared" si="5"/>
        <v>Real Estate</v>
      </c>
      <c r="G50" s="62"/>
    </row>
    <row r="51">
      <c r="A51" s="78" t="str">
        <f t="shared" si="1"/>
        <v>Roper Technologies, Inc.</v>
      </c>
      <c r="B51" s="79" t="s">
        <v>66</v>
      </c>
      <c r="C51" s="80">
        <f t="shared" si="2"/>
        <v>446.15</v>
      </c>
      <c r="D51" s="80">
        <f t="shared" si="3"/>
        <v>3.3</v>
      </c>
      <c r="E51" s="81">
        <f t="shared" si="4"/>
        <v>0.0074</v>
      </c>
      <c r="F51" s="78" t="str">
        <f t="shared" si="5"/>
        <v>Technology</v>
      </c>
      <c r="G51" s="62"/>
    </row>
    <row r="52">
      <c r="A52" s="78" t="str">
        <f t="shared" si="1"/>
        <v>The Sherwin-Williams Company</v>
      </c>
      <c r="B52" s="79" t="s">
        <v>37</v>
      </c>
      <c r="C52" s="80">
        <f t="shared" si="2"/>
        <v>344.94</v>
      </c>
      <c r="D52" s="80">
        <f t="shared" si="3"/>
        <v>3.085</v>
      </c>
      <c r="E52" s="81">
        <f t="shared" si="4"/>
        <v>0.0092</v>
      </c>
      <c r="F52" s="78" t="str">
        <f t="shared" si="5"/>
        <v>Basic Materials</v>
      </c>
      <c r="G52" s="62"/>
    </row>
    <row r="53">
      <c r="A53" s="62"/>
      <c r="B53" s="62"/>
      <c r="C53" s="80"/>
      <c r="D53" s="75"/>
      <c r="E53" s="62"/>
      <c r="F53" s="62"/>
      <c r="G53" s="62"/>
    </row>
    <row r="54">
      <c r="A54" s="62"/>
      <c r="B54" s="62"/>
      <c r="C54" s="62"/>
      <c r="D54" s="75"/>
      <c r="E54" s="62"/>
      <c r="F54" s="62"/>
      <c r="G54" s="62"/>
    </row>
    <row r="55">
      <c r="A55" s="62"/>
      <c r="B55" s="62"/>
      <c r="C55" s="62"/>
      <c r="D55" s="75"/>
      <c r="E55" s="79" t="s">
        <v>87</v>
      </c>
      <c r="F55" s="80">
        <f t="shared" ref="F55:F56" si="6">COUNTIF(F3:F52, E55)</f>
        <v>6</v>
      </c>
      <c r="G55" s="62"/>
    </row>
    <row r="56">
      <c r="A56" s="62"/>
      <c r="B56" s="62"/>
      <c r="C56" s="62"/>
      <c r="D56" s="75"/>
      <c r="E56" s="79" t="s">
        <v>88</v>
      </c>
      <c r="F56" s="80">
        <f t="shared" si="6"/>
        <v>5</v>
      </c>
      <c r="G56" s="62"/>
    </row>
    <row r="57">
      <c r="A57" s="62"/>
      <c r="B57" s="62"/>
      <c r="C57" s="62"/>
      <c r="D57" s="75"/>
      <c r="E57" s="79" t="s">
        <v>89</v>
      </c>
      <c r="F57" s="80">
        <f>COUNTIF(F3:F54, E57)</f>
        <v>6</v>
      </c>
      <c r="G57" s="62"/>
    </row>
    <row r="58">
      <c r="A58" s="62"/>
      <c r="B58" s="62"/>
      <c r="C58" s="62"/>
      <c r="D58" s="75"/>
      <c r="E58" s="79" t="s">
        <v>90</v>
      </c>
      <c r="F58" s="80">
        <f>COUNTIF(F3:F54, E58)</f>
        <v>12</v>
      </c>
      <c r="G58" s="62"/>
    </row>
    <row r="59">
      <c r="A59" s="62"/>
      <c r="B59" s="62"/>
      <c r="C59" s="62"/>
      <c r="D59" s="75"/>
      <c r="E59" s="79" t="s">
        <v>91</v>
      </c>
      <c r="F59" s="80">
        <f>COUNTIF(F3:F54, E59)</f>
        <v>6</v>
      </c>
      <c r="G59" s="62"/>
    </row>
    <row r="60">
      <c r="A60" s="62"/>
      <c r="B60" s="62"/>
      <c r="C60" s="62"/>
      <c r="D60" s="75"/>
      <c r="E60" s="79" t="s">
        <v>92</v>
      </c>
      <c r="F60" s="80">
        <f>COUNTIF(F3:F54, E60)</f>
        <v>3</v>
      </c>
      <c r="G60" s="62"/>
    </row>
    <row r="61">
      <c r="A61" s="62"/>
      <c r="B61" s="62"/>
      <c r="C61" s="62"/>
      <c r="D61" s="75"/>
      <c r="E61" s="79" t="s">
        <v>93</v>
      </c>
      <c r="F61" s="80">
        <f>COUNTIF(F3:F54, E61)</f>
        <v>3</v>
      </c>
      <c r="G61" s="62"/>
    </row>
    <row r="62">
      <c r="A62" s="62"/>
      <c r="B62" s="62"/>
      <c r="C62" s="62"/>
      <c r="D62" s="75"/>
      <c r="E62" s="79" t="s">
        <v>94</v>
      </c>
      <c r="F62" s="80">
        <f>COUNTIF(F3:F54, E62)</f>
        <v>3</v>
      </c>
      <c r="G62" s="62"/>
    </row>
    <row r="63">
      <c r="A63" s="62"/>
      <c r="B63" s="62"/>
      <c r="C63" s="62"/>
      <c r="D63" s="75"/>
      <c r="E63" s="79" t="s">
        <v>95</v>
      </c>
      <c r="F63" s="80">
        <f>COUNTIF(F3:F54, E63)</f>
        <v>0</v>
      </c>
      <c r="G63" s="62"/>
    </row>
    <row r="64">
      <c r="A64" s="62"/>
      <c r="B64" s="62"/>
      <c r="C64" s="62"/>
      <c r="D64" s="75"/>
      <c r="E64" s="79" t="s">
        <v>96</v>
      </c>
      <c r="F64" s="80">
        <f>COUNTIF(F3:F55, E64)</f>
        <v>1</v>
      </c>
      <c r="G64" s="62"/>
    </row>
    <row r="65">
      <c r="A65" s="62"/>
      <c r="B65" s="62"/>
      <c r="C65" s="62"/>
      <c r="D65" s="75"/>
      <c r="E65" s="79" t="s">
        <v>97</v>
      </c>
      <c r="F65" s="80">
        <f>COUNTIF(F3:F56, E65)</f>
        <v>5</v>
      </c>
      <c r="G65" s="62"/>
    </row>
    <row r="66">
      <c r="A66" s="62"/>
      <c r="B66" s="62"/>
      <c r="C66" s="62"/>
      <c r="D66" s="75"/>
      <c r="E66" s="62"/>
      <c r="F66" s="62"/>
      <c r="G66" s="62"/>
    </row>
    <row r="67">
      <c r="D67" s="82"/>
    </row>
    <row r="68">
      <c r="D68" s="82"/>
    </row>
    <row r="69">
      <c r="D69" s="82"/>
    </row>
    <row r="70">
      <c r="D70" s="82"/>
    </row>
    <row r="71">
      <c r="D71" s="82"/>
    </row>
    <row r="72">
      <c r="D72" s="82"/>
    </row>
    <row r="73">
      <c r="D73" s="82"/>
    </row>
    <row r="74">
      <c r="D74" s="82"/>
    </row>
    <row r="75">
      <c r="D75" s="82"/>
    </row>
    <row r="76">
      <c r="D76" s="82"/>
    </row>
    <row r="77">
      <c r="D77" s="82"/>
    </row>
    <row r="78">
      <c r="D78" s="82"/>
    </row>
    <row r="79">
      <c r="D79" s="82"/>
    </row>
    <row r="80">
      <c r="D80" s="82"/>
    </row>
    <row r="81">
      <c r="D81" s="82"/>
    </row>
    <row r="82">
      <c r="D82" s="82"/>
    </row>
    <row r="83">
      <c r="D83" s="82"/>
    </row>
    <row r="84">
      <c r="D84" s="82"/>
    </row>
    <row r="85">
      <c r="D85" s="82"/>
    </row>
    <row r="86">
      <c r="D86" s="82"/>
    </row>
    <row r="87">
      <c r="D87" s="82"/>
    </row>
    <row r="88">
      <c r="D88" s="82"/>
    </row>
    <row r="89">
      <c r="D89" s="82"/>
    </row>
    <row r="90">
      <c r="D90" s="82"/>
    </row>
    <row r="91">
      <c r="D91" s="82"/>
    </row>
    <row r="92">
      <c r="D92" s="82"/>
    </row>
    <row r="93">
      <c r="D93" s="82"/>
    </row>
    <row r="94">
      <c r="D94" s="82"/>
    </row>
    <row r="95">
      <c r="D95" s="82"/>
    </row>
    <row r="96">
      <c r="D96" s="82"/>
    </row>
    <row r="97">
      <c r="D97" s="82"/>
    </row>
    <row r="98">
      <c r="D98" s="82"/>
    </row>
    <row r="99">
      <c r="D99" s="82"/>
    </row>
    <row r="100">
      <c r="D100" s="82"/>
    </row>
    <row r="101">
      <c r="D101" s="82"/>
    </row>
    <row r="102">
      <c r="D102" s="82"/>
    </row>
    <row r="103">
      <c r="D103" s="82"/>
    </row>
    <row r="104">
      <c r="D104" s="82"/>
    </row>
    <row r="105">
      <c r="D105" s="82"/>
    </row>
    <row r="106">
      <c r="D106" s="82"/>
    </row>
    <row r="107">
      <c r="D107" s="82"/>
    </row>
    <row r="108">
      <c r="D108" s="82"/>
    </row>
    <row r="109">
      <c r="D109" s="82"/>
    </row>
    <row r="110">
      <c r="D110" s="82"/>
    </row>
    <row r="111">
      <c r="D111" s="82"/>
    </row>
    <row r="112">
      <c r="D112" s="82"/>
    </row>
    <row r="113">
      <c r="D113" s="82"/>
    </row>
    <row r="114">
      <c r="D114" s="82"/>
    </row>
    <row r="115">
      <c r="D115" s="82"/>
    </row>
    <row r="116">
      <c r="D116" s="82"/>
    </row>
    <row r="117">
      <c r="D117" s="82"/>
    </row>
    <row r="118">
      <c r="D118" s="82"/>
    </row>
    <row r="119">
      <c r="D119" s="82"/>
    </row>
    <row r="120">
      <c r="D120" s="82"/>
    </row>
    <row r="121">
      <c r="D121" s="82"/>
    </row>
    <row r="122">
      <c r="D122" s="82"/>
    </row>
    <row r="123">
      <c r="D123" s="82"/>
    </row>
    <row r="124">
      <c r="D124" s="82"/>
    </row>
    <row r="125">
      <c r="D125" s="82"/>
    </row>
    <row r="126">
      <c r="D126" s="82"/>
    </row>
    <row r="127">
      <c r="D127" s="82"/>
    </row>
    <row r="128">
      <c r="D128" s="82"/>
    </row>
    <row r="129">
      <c r="D129" s="82"/>
    </row>
    <row r="130">
      <c r="D130" s="82"/>
    </row>
    <row r="131">
      <c r="D131" s="82"/>
    </row>
    <row r="132">
      <c r="D132" s="82"/>
    </row>
    <row r="133">
      <c r="D133" s="82"/>
    </row>
    <row r="134">
      <c r="D134" s="82"/>
    </row>
    <row r="135">
      <c r="D135" s="82"/>
    </row>
    <row r="136">
      <c r="D136" s="82"/>
    </row>
    <row r="137">
      <c r="D137" s="82"/>
    </row>
    <row r="138">
      <c r="D138" s="82"/>
    </row>
    <row r="139">
      <c r="D139" s="82"/>
    </row>
    <row r="140">
      <c r="D140" s="82"/>
    </row>
    <row r="141">
      <c r="D141" s="82"/>
    </row>
    <row r="142">
      <c r="D142" s="82"/>
    </row>
    <row r="143">
      <c r="D143" s="82"/>
    </row>
    <row r="144">
      <c r="D144" s="82"/>
    </row>
    <row r="145">
      <c r="D145" s="82"/>
    </row>
    <row r="146">
      <c r="D146" s="82"/>
    </row>
    <row r="147">
      <c r="D147" s="82"/>
    </row>
    <row r="148">
      <c r="D148" s="82"/>
    </row>
    <row r="149">
      <c r="D149" s="82"/>
    </row>
    <row r="150">
      <c r="D150" s="82"/>
    </row>
    <row r="151">
      <c r="D151" s="82"/>
    </row>
    <row r="152">
      <c r="D152" s="82"/>
    </row>
    <row r="153">
      <c r="D153" s="82"/>
    </row>
    <row r="154">
      <c r="D154" s="82"/>
    </row>
    <row r="155">
      <c r="D155" s="82"/>
    </row>
    <row r="156">
      <c r="D156" s="82"/>
    </row>
    <row r="157">
      <c r="D157" s="82"/>
    </row>
    <row r="158">
      <c r="D158" s="82"/>
    </row>
    <row r="159">
      <c r="D159" s="82"/>
    </row>
    <row r="160">
      <c r="D160" s="82"/>
    </row>
    <row r="161">
      <c r="D161" s="82"/>
    </row>
    <row r="162">
      <c r="D162" s="82"/>
    </row>
    <row r="163">
      <c r="D163" s="82"/>
    </row>
    <row r="164">
      <c r="D164" s="82"/>
    </row>
    <row r="165">
      <c r="D165" s="82"/>
    </row>
    <row r="166">
      <c r="D166" s="82"/>
    </row>
    <row r="167">
      <c r="D167" s="82"/>
    </row>
    <row r="168">
      <c r="D168" s="82"/>
    </row>
    <row r="169">
      <c r="D169" s="82"/>
    </row>
    <row r="170">
      <c r="D170" s="82"/>
    </row>
    <row r="171">
      <c r="D171" s="82"/>
    </row>
    <row r="172">
      <c r="D172" s="82"/>
    </row>
    <row r="173">
      <c r="D173" s="82"/>
    </row>
    <row r="174">
      <c r="D174" s="82"/>
    </row>
    <row r="175">
      <c r="D175" s="82"/>
    </row>
    <row r="176">
      <c r="D176" s="82"/>
    </row>
    <row r="177">
      <c r="D177" s="82"/>
    </row>
    <row r="178">
      <c r="D178" s="82"/>
    </row>
    <row r="179">
      <c r="D179" s="82"/>
    </row>
    <row r="180">
      <c r="D180" s="82"/>
    </row>
    <row r="181">
      <c r="D181" s="82"/>
    </row>
    <row r="182">
      <c r="D182" s="82"/>
    </row>
    <row r="183">
      <c r="D183" s="82"/>
    </row>
    <row r="184">
      <c r="D184" s="82"/>
    </row>
    <row r="185">
      <c r="D185" s="82"/>
    </row>
    <row r="186">
      <c r="D186" s="82"/>
    </row>
    <row r="187">
      <c r="D187" s="82"/>
    </row>
    <row r="188">
      <c r="D188" s="82"/>
    </row>
    <row r="189">
      <c r="D189" s="82"/>
    </row>
    <row r="190">
      <c r="D190" s="82"/>
    </row>
    <row r="191">
      <c r="D191" s="82"/>
    </row>
    <row r="192">
      <c r="D192" s="82"/>
    </row>
    <row r="193">
      <c r="D193" s="82"/>
    </row>
    <row r="194">
      <c r="D194" s="82"/>
    </row>
    <row r="195">
      <c r="D195" s="82"/>
    </row>
    <row r="196">
      <c r="D196" s="82"/>
    </row>
    <row r="197">
      <c r="D197" s="82"/>
    </row>
    <row r="198">
      <c r="D198" s="82"/>
    </row>
    <row r="199">
      <c r="D199" s="82"/>
    </row>
    <row r="200">
      <c r="D200" s="82"/>
    </row>
    <row r="201">
      <c r="D201" s="82"/>
    </row>
    <row r="202">
      <c r="D202" s="82"/>
    </row>
    <row r="203">
      <c r="D203" s="82"/>
    </row>
    <row r="204">
      <c r="D204" s="82"/>
    </row>
    <row r="205">
      <c r="D205" s="82"/>
    </row>
    <row r="206">
      <c r="D206" s="82"/>
    </row>
    <row r="207">
      <c r="D207" s="82"/>
    </row>
    <row r="208">
      <c r="D208" s="82"/>
    </row>
    <row r="209">
      <c r="D209" s="82"/>
    </row>
    <row r="210">
      <c r="D210" s="82"/>
    </row>
    <row r="211">
      <c r="D211" s="82"/>
    </row>
    <row r="212">
      <c r="D212" s="82"/>
    </row>
    <row r="213">
      <c r="D213" s="82"/>
    </row>
    <row r="214">
      <c r="D214" s="82"/>
    </row>
    <row r="215">
      <c r="D215" s="82"/>
    </row>
    <row r="216">
      <c r="D216" s="82"/>
    </row>
    <row r="217">
      <c r="D217" s="82"/>
    </row>
    <row r="218">
      <c r="D218" s="82"/>
    </row>
    <row r="219">
      <c r="D219" s="82"/>
    </row>
    <row r="220">
      <c r="D220" s="82"/>
    </row>
    <row r="221">
      <c r="D221" s="82"/>
    </row>
    <row r="222">
      <c r="D222" s="82"/>
    </row>
    <row r="223">
      <c r="D223" s="82"/>
    </row>
    <row r="224">
      <c r="D224" s="82"/>
    </row>
    <row r="225">
      <c r="D225" s="82"/>
    </row>
    <row r="226">
      <c r="D226" s="82"/>
    </row>
    <row r="227">
      <c r="D227" s="82"/>
    </row>
    <row r="228">
      <c r="D228" s="82"/>
    </row>
    <row r="229">
      <c r="D229" s="82"/>
    </row>
    <row r="230">
      <c r="D230" s="82"/>
    </row>
    <row r="231">
      <c r="D231" s="82"/>
    </row>
    <row r="232">
      <c r="D232" s="82"/>
    </row>
    <row r="233">
      <c r="D233" s="82"/>
    </row>
    <row r="234">
      <c r="D234" s="82"/>
    </row>
    <row r="235">
      <c r="D235" s="82"/>
    </row>
    <row r="236">
      <c r="D236" s="82"/>
    </row>
    <row r="237">
      <c r="D237" s="82"/>
    </row>
    <row r="238">
      <c r="D238" s="82"/>
    </row>
    <row r="239">
      <c r="D239" s="82"/>
    </row>
    <row r="240">
      <c r="D240" s="82"/>
    </row>
    <row r="241">
      <c r="D241" s="82"/>
    </row>
    <row r="242">
      <c r="D242" s="82"/>
    </row>
    <row r="243">
      <c r="D243" s="82"/>
    </row>
    <row r="244">
      <c r="D244" s="82"/>
    </row>
    <row r="245">
      <c r="D245" s="82"/>
    </row>
    <row r="246">
      <c r="D246" s="82"/>
    </row>
    <row r="247">
      <c r="D247" s="82"/>
    </row>
    <row r="248">
      <c r="D248" s="82"/>
    </row>
    <row r="249">
      <c r="D249" s="82"/>
    </row>
    <row r="250">
      <c r="D250" s="82"/>
    </row>
    <row r="251">
      <c r="D251" s="82"/>
    </row>
    <row r="252">
      <c r="D252" s="82"/>
    </row>
    <row r="253">
      <c r="D253" s="82"/>
    </row>
    <row r="254">
      <c r="D254" s="82"/>
    </row>
    <row r="255">
      <c r="D255" s="82"/>
    </row>
    <row r="256">
      <c r="D256" s="82"/>
    </row>
    <row r="257">
      <c r="D257" s="82"/>
    </row>
    <row r="258">
      <c r="D258" s="82"/>
    </row>
    <row r="259">
      <c r="D259" s="82"/>
    </row>
    <row r="260">
      <c r="D260" s="82"/>
    </row>
    <row r="261">
      <c r="D261" s="82"/>
    </row>
    <row r="262">
      <c r="D262" s="82"/>
    </row>
    <row r="263">
      <c r="D263" s="82"/>
    </row>
    <row r="264">
      <c r="D264" s="82"/>
    </row>
    <row r="265">
      <c r="D265" s="82"/>
    </row>
    <row r="266">
      <c r="D266" s="82"/>
    </row>
    <row r="267">
      <c r="D267" s="82"/>
    </row>
    <row r="268">
      <c r="D268" s="82"/>
    </row>
    <row r="269">
      <c r="D269" s="82"/>
    </row>
    <row r="270">
      <c r="D270" s="82"/>
    </row>
    <row r="271">
      <c r="D271" s="82"/>
    </row>
    <row r="272">
      <c r="D272" s="82"/>
    </row>
    <row r="273">
      <c r="D273" s="82"/>
    </row>
    <row r="274">
      <c r="D274" s="82"/>
    </row>
    <row r="275">
      <c r="D275" s="82"/>
    </row>
    <row r="276">
      <c r="D276" s="82"/>
    </row>
    <row r="277">
      <c r="D277" s="82"/>
    </row>
    <row r="278">
      <c r="D278" s="82"/>
    </row>
    <row r="279">
      <c r="D279" s="82"/>
    </row>
    <row r="280">
      <c r="D280" s="82"/>
    </row>
    <row r="281">
      <c r="D281" s="82"/>
    </row>
    <row r="282">
      <c r="D282" s="82"/>
    </row>
    <row r="283">
      <c r="D283" s="82"/>
    </row>
    <row r="284">
      <c r="D284" s="82"/>
    </row>
    <row r="285">
      <c r="D285" s="82"/>
    </row>
    <row r="286">
      <c r="D286" s="82"/>
    </row>
    <row r="287">
      <c r="D287" s="82"/>
    </row>
    <row r="288">
      <c r="D288" s="82"/>
    </row>
    <row r="289">
      <c r="D289" s="82"/>
    </row>
    <row r="290">
      <c r="D290" s="82"/>
    </row>
    <row r="291">
      <c r="D291" s="82"/>
    </row>
    <row r="292">
      <c r="D292" s="82"/>
    </row>
    <row r="293">
      <c r="D293" s="82"/>
    </row>
    <row r="294">
      <c r="D294" s="82"/>
    </row>
    <row r="295">
      <c r="D295" s="82"/>
    </row>
    <row r="296">
      <c r="D296" s="82"/>
    </row>
    <row r="297">
      <c r="D297" s="82"/>
    </row>
    <row r="298">
      <c r="D298" s="82"/>
    </row>
    <row r="299">
      <c r="D299" s="82"/>
    </row>
    <row r="300">
      <c r="D300" s="82"/>
    </row>
    <row r="301">
      <c r="D301" s="82"/>
    </row>
    <row r="302">
      <c r="D302" s="82"/>
    </row>
    <row r="303">
      <c r="D303" s="82"/>
    </row>
    <row r="304">
      <c r="D304" s="82"/>
    </row>
    <row r="305">
      <c r="D305" s="82"/>
    </row>
    <row r="306">
      <c r="D306" s="82"/>
    </row>
    <row r="307">
      <c r="D307" s="82"/>
    </row>
    <row r="308">
      <c r="D308" s="82"/>
    </row>
    <row r="309">
      <c r="D309" s="82"/>
    </row>
    <row r="310">
      <c r="D310" s="82"/>
    </row>
    <row r="311">
      <c r="D311" s="82"/>
    </row>
    <row r="312">
      <c r="D312" s="82"/>
    </row>
    <row r="313">
      <c r="D313" s="82"/>
    </row>
    <row r="314">
      <c r="D314" s="82"/>
    </row>
    <row r="315">
      <c r="D315" s="82"/>
    </row>
    <row r="316">
      <c r="D316" s="82"/>
    </row>
    <row r="317">
      <c r="D317" s="82"/>
    </row>
    <row r="318">
      <c r="D318" s="82"/>
    </row>
    <row r="319">
      <c r="D319" s="82"/>
    </row>
    <row r="320">
      <c r="D320" s="82"/>
    </row>
    <row r="321">
      <c r="D321" s="82"/>
    </row>
    <row r="322">
      <c r="D322" s="82"/>
    </row>
    <row r="323">
      <c r="D323" s="82"/>
    </row>
    <row r="324">
      <c r="D324" s="82"/>
    </row>
    <row r="325">
      <c r="D325" s="82"/>
    </row>
    <row r="326">
      <c r="D326" s="82"/>
    </row>
    <row r="327">
      <c r="D327" s="82"/>
    </row>
    <row r="328">
      <c r="D328" s="82"/>
    </row>
    <row r="329">
      <c r="D329" s="82"/>
    </row>
    <row r="330">
      <c r="D330" s="82"/>
    </row>
    <row r="331">
      <c r="D331" s="82"/>
    </row>
    <row r="332">
      <c r="D332" s="82"/>
    </row>
    <row r="333">
      <c r="D333" s="82"/>
    </row>
    <row r="334">
      <c r="D334" s="82"/>
    </row>
    <row r="335">
      <c r="D335" s="82"/>
    </row>
    <row r="336">
      <c r="D336" s="82"/>
    </row>
    <row r="337">
      <c r="D337" s="82"/>
    </row>
    <row r="338">
      <c r="D338" s="82"/>
    </row>
    <row r="339">
      <c r="D339" s="82"/>
    </row>
    <row r="340">
      <c r="D340" s="82"/>
    </row>
    <row r="341">
      <c r="D341" s="82"/>
    </row>
    <row r="342">
      <c r="D342" s="82"/>
    </row>
    <row r="343">
      <c r="D343" s="82"/>
    </row>
    <row r="344">
      <c r="D344" s="82"/>
    </row>
    <row r="345">
      <c r="D345" s="82"/>
    </row>
    <row r="346">
      <c r="D346" s="82"/>
    </row>
    <row r="347">
      <c r="D347" s="82"/>
    </row>
    <row r="348">
      <c r="D348" s="82"/>
    </row>
    <row r="349">
      <c r="D349" s="82"/>
    </row>
    <row r="350">
      <c r="D350" s="82"/>
    </row>
    <row r="351">
      <c r="D351" s="82"/>
    </row>
    <row r="352">
      <c r="D352" s="82"/>
    </row>
    <row r="353">
      <c r="D353" s="82"/>
    </row>
    <row r="354">
      <c r="D354" s="82"/>
    </row>
    <row r="355">
      <c r="D355" s="82"/>
    </row>
    <row r="356">
      <c r="D356" s="82"/>
    </row>
    <row r="357">
      <c r="D357" s="82"/>
    </row>
    <row r="358">
      <c r="D358" s="82"/>
    </row>
    <row r="359">
      <c r="D359" s="82"/>
    </row>
    <row r="360">
      <c r="D360" s="82"/>
    </row>
    <row r="361">
      <c r="D361" s="82"/>
    </row>
    <row r="362">
      <c r="D362" s="82"/>
    </row>
    <row r="363">
      <c r="D363" s="82"/>
    </row>
    <row r="364">
      <c r="D364" s="82"/>
    </row>
    <row r="365">
      <c r="D365" s="82"/>
    </row>
    <row r="366">
      <c r="D366" s="82"/>
    </row>
    <row r="367">
      <c r="D367" s="82"/>
    </row>
    <row r="368">
      <c r="D368" s="82"/>
    </row>
    <row r="369">
      <c r="D369" s="82"/>
    </row>
    <row r="370">
      <c r="D370" s="82"/>
    </row>
    <row r="371">
      <c r="D371" s="82"/>
    </row>
    <row r="372">
      <c r="D372" s="82"/>
    </row>
    <row r="373">
      <c r="D373" s="82"/>
    </row>
    <row r="374">
      <c r="D374" s="82"/>
    </row>
    <row r="375">
      <c r="D375" s="82"/>
    </row>
    <row r="376">
      <c r="D376" s="82"/>
    </row>
    <row r="377">
      <c r="D377" s="82"/>
    </row>
    <row r="378">
      <c r="D378" s="82"/>
    </row>
    <row r="379">
      <c r="D379" s="82"/>
    </row>
    <row r="380">
      <c r="D380" s="82"/>
    </row>
    <row r="381">
      <c r="D381" s="82"/>
    </row>
    <row r="382">
      <c r="D382" s="82"/>
    </row>
    <row r="383">
      <c r="D383" s="82"/>
    </row>
    <row r="384">
      <c r="D384" s="82"/>
    </row>
    <row r="385">
      <c r="D385" s="82"/>
    </row>
    <row r="386">
      <c r="D386" s="82"/>
    </row>
    <row r="387">
      <c r="D387" s="82"/>
    </row>
    <row r="388">
      <c r="D388" s="82"/>
    </row>
    <row r="389">
      <c r="D389" s="82"/>
    </row>
    <row r="390">
      <c r="D390" s="82"/>
    </row>
    <row r="391">
      <c r="D391" s="82"/>
    </row>
    <row r="392">
      <c r="D392" s="82"/>
    </row>
    <row r="393">
      <c r="D393" s="82"/>
    </row>
    <row r="394">
      <c r="D394" s="82"/>
    </row>
    <row r="395">
      <c r="D395" s="82"/>
    </row>
    <row r="396">
      <c r="D396" s="82"/>
    </row>
    <row r="397">
      <c r="D397" s="82"/>
    </row>
    <row r="398">
      <c r="D398" s="82"/>
    </row>
    <row r="399">
      <c r="D399" s="82"/>
    </row>
    <row r="400">
      <c r="D400" s="82"/>
    </row>
    <row r="401">
      <c r="D401" s="82"/>
    </row>
    <row r="402">
      <c r="D402" s="82"/>
    </row>
    <row r="403">
      <c r="D403" s="82"/>
    </row>
    <row r="404">
      <c r="D404" s="82"/>
    </row>
    <row r="405">
      <c r="D405" s="82"/>
    </row>
    <row r="406">
      <c r="D406" s="82"/>
    </row>
    <row r="407">
      <c r="D407" s="82"/>
    </row>
    <row r="408">
      <c r="D408" s="82"/>
    </row>
    <row r="409">
      <c r="D409" s="82"/>
    </row>
    <row r="410">
      <c r="D410" s="82"/>
    </row>
    <row r="411">
      <c r="D411" s="82"/>
    </row>
    <row r="412">
      <c r="D412" s="82"/>
    </row>
    <row r="413">
      <c r="D413" s="82"/>
    </row>
    <row r="414">
      <c r="D414" s="82"/>
    </row>
    <row r="415">
      <c r="D415" s="82"/>
    </row>
    <row r="416">
      <c r="D416" s="82"/>
    </row>
    <row r="417">
      <c r="D417" s="82"/>
    </row>
    <row r="418">
      <c r="D418" s="82"/>
    </row>
    <row r="419">
      <c r="D419" s="82"/>
    </row>
    <row r="420">
      <c r="D420" s="82"/>
    </row>
    <row r="421">
      <c r="D421" s="82"/>
    </row>
    <row r="422">
      <c r="D422" s="82"/>
    </row>
    <row r="423">
      <c r="D423" s="82"/>
    </row>
    <row r="424">
      <c r="D424" s="82"/>
    </row>
    <row r="425">
      <c r="D425" s="82"/>
    </row>
    <row r="426">
      <c r="D426" s="82"/>
    </row>
    <row r="427">
      <c r="D427" s="82"/>
    </row>
    <row r="428">
      <c r="D428" s="82"/>
    </row>
    <row r="429">
      <c r="D429" s="82"/>
    </row>
    <row r="430">
      <c r="D430" s="82"/>
    </row>
    <row r="431">
      <c r="D431" s="82"/>
    </row>
    <row r="432">
      <c r="D432" s="82"/>
    </row>
    <row r="433">
      <c r="D433" s="82"/>
    </row>
    <row r="434">
      <c r="D434" s="82"/>
    </row>
    <row r="435">
      <c r="D435" s="82"/>
    </row>
    <row r="436">
      <c r="D436" s="82"/>
    </row>
    <row r="437">
      <c r="D437" s="82"/>
    </row>
    <row r="438">
      <c r="D438" s="82"/>
    </row>
    <row r="439">
      <c r="D439" s="82"/>
    </row>
    <row r="440">
      <c r="D440" s="82"/>
    </row>
    <row r="441">
      <c r="D441" s="82"/>
    </row>
    <row r="442">
      <c r="D442" s="82"/>
    </row>
    <row r="443">
      <c r="D443" s="82"/>
    </row>
    <row r="444">
      <c r="D444" s="82"/>
    </row>
    <row r="445">
      <c r="D445" s="82"/>
    </row>
    <row r="446">
      <c r="D446" s="82"/>
    </row>
    <row r="447">
      <c r="D447" s="82"/>
    </row>
    <row r="448">
      <c r="D448" s="82"/>
    </row>
    <row r="449">
      <c r="D449" s="82"/>
    </row>
    <row r="450">
      <c r="D450" s="82"/>
    </row>
    <row r="451">
      <c r="D451" s="82"/>
    </row>
    <row r="452">
      <c r="D452" s="82"/>
    </row>
    <row r="453">
      <c r="D453" s="82"/>
    </row>
    <row r="454">
      <c r="D454" s="82"/>
    </row>
    <row r="455">
      <c r="D455" s="82"/>
    </row>
    <row r="456">
      <c r="D456" s="82"/>
    </row>
    <row r="457">
      <c r="D457" s="82"/>
    </row>
    <row r="458">
      <c r="D458" s="82"/>
    </row>
    <row r="459">
      <c r="D459" s="82"/>
    </row>
    <row r="460">
      <c r="D460" s="82"/>
    </row>
    <row r="461">
      <c r="D461" s="82"/>
    </row>
    <row r="462">
      <c r="D462" s="82"/>
    </row>
    <row r="463">
      <c r="D463" s="82"/>
    </row>
    <row r="464">
      <c r="D464" s="82"/>
    </row>
    <row r="465">
      <c r="D465" s="82"/>
    </row>
    <row r="466">
      <c r="D466" s="82"/>
    </row>
    <row r="467">
      <c r="D467" s="82"/>
    </row>
    <row r="468">
      <c r="D468" s="82"/>
    </row>
    <row r="469">
      <c r="D469" s="82"/>
    </row>
    <row r="470">
      <c r="D470" s="82"/>
    </row>
    <row r="471">
      <c r="D471" s="82"/>
    </row>
    <row r="472">
      <c r="D472" s="82"/>
    </row>
    <row r="473">
      <c r="D473" s="82"/>
    </row>
    <row r="474">
      <c r="D474" s="82"/>
    </row>
    <row r="475">
      <c r="D475" s="82"/>
    </row>
    <row r="476">
      <c r="D476" s="82"/>
    </row>
    <row r="477">
      <c r="D477" s="82"/>
    </row>
    <row r="478">
      <c r="D478" s="82"/>
    </row>
    <row r="479">
      <c r="D479" s="82"/>
    </row>
    <row r="480">
      <c r="D480" s="82"/>
    </row>
    <row r="481">
      <c r="D481" s="82"/>
    </row>
    <row r="482">
      <c r="D482" s="82"/>
    </row>
    <row r="483">
      <c r="D483" s="82"/>
    </row>
    <row r="484">
      <c r="D484" s="82"/>
    </row>
    <row r="485">
      <c r="D485" s="82"/>
    </row>
    <row r="486">
      <c r="D486" s="82"/>
    </row>
    <row r="487">
      <c r="D487" s="82"/>
    </row>
    <row r="488">
      <c r="D488" s="82"/>
    </row>
    <row r="489">
      <c r="D489" s="82"/>
    </row>
    <row r="490">
      <c r="D490" s="82"/>
    </row>
    <row r="491">
      <c r="D491" s="82"/>
    </row>
    <row r="492">
      <c r="D492" s="82"/>
    </row>
    <row r="493">
      <c r="D493" s="82"/>
    </row>
    <row r="494">
      <c r="D494" s="82"/>
    </row>
    <row r="495">
      <c r="D495" s="82"/>
    </row>
    <row r="496">
      <c r="D496" s="82"/>
    </row>
    <row r="497">
      <c r="D497" s="82"/>
    </row>
    <row r="498">
      <c r="D498" s="82"/>
    </row>
    <row r="499">
      <c r="D499" s="82"/>
    </row>
    <row r="500">
      <c r="D500" s="82"/>
    </row>
    <row r="501">
      <c r="D501" s="82"/>
    </row>
    <row r="502">
      <c r="D502" s="82"/>
    </row>
    <row r="503">
      <c r="D503" s="82"/>
    </row>
    <row r="504">
      <c r="D504" s="82"/>
    </row>
    <row r="505">
      <c r="D505" s="82"/>
    </row>
    <row r="506">
      <c r="D506" s="82"/>
    </row>
    <row r="507">
      <c r="D507" s="82"/>
    </row>
    <row r="508">
      <c r="D508" s="82"/>
    </row>
    <row r="509">
      <c r="D509" s="82"/>
    </row>
    <row r="510">
      <c r="D510" s="82"/>
    </row>
    <row r="511">
      <c r="D511" s="82"/>
    </row>
    <row r="512">
      <c r="D512" s="82"/>
    </row>
    <row r="513">
      <c r="D513" s="82"/>
    </row>
    <row r="514">
      <c r="D514" s="82"/>
    </row>
    <row r="515">
      <c r="D515" s="82"/>
    </row>
    <row r="516">
      <c r="D516" s="82"/>
    </row>
    <row r="517">
      <c r="D517" s="82"/>
    </row>
    <row r="518">
      <c r="D518" s="82"/>
    </row>
    <row r="519">
      <c r="D519" s="82"/>
    </row>
    <row r="520">
      <c r="D520" s="82"/>
    </row>
    <row r="521">
      <c r="D521" s="82"/>
    </row>
    <row r="522">
      <c r="D522" s="82"/>
    </row>
    <row r="523">
      <c r="D523" s="82"/>
    </row>
    <row r="524">
      <c r="D524" s="82"/>
    </row>
    <row r="525">
      <c r="D525" s="82"/>
    </row>
    <row r="526">
      <c r="D526" s="82"/>
    </row>
    <row r="527">
      <c r="D527" s="82"/>
    </row>
    <row r="528">
      <c r="D528" s="82"/>
    </row>
    <row r="529">
      <c r="D529" s="82"/>
    </row>
    <row r="530">
      <c r="D530" s="82"/>
    </row>
    <row r="531">
      <c r="D531" s="82"/>
    </row>
    <row r="532">
      <c r="D532" s="82"/>
    </row>
    <row r="533">
      <c r="D533" s="82"/>
    </row>
    <row r="534">
      <c r="D534" s="82"/>
    </row>
    <row r="535">
      <c r="D535" s="82"/>
    </row>
    <row r="536">
      <c r="D536" s="82"/>
    </row>
    <row r="537">
      <c r="D537" s="82"/>
    </row>
    <row r="538">
      <c r="D538" s="82"/>
    </row>
    <row r="539">
      <c r="D539" s="82"/>
    </row>
    <row r="540">
      <c r="D540" s="82"/>
    </row>
    <row r="541">
      <c r="D541" s="82"/>
    </row>
    <row r="542">
      <c r="D542" s="82"/>
    </row>
    <row r="543">
      <c r="D543" s="82"/>
    </row>
    <row r="544">
      <c r="D544" s="82"/>
    </row>
    <row r="545">
      <c r="D545" s="82"/>
    </row>
    <row r="546">
      <c r="D546" s="82"/>
    </row>
    <row r="547">
      <c r="D547" s="82"/>
    </row>
    <row r="548">
      <c r="D548" s="82"/>
    </row>
    <row r="549">
      <c r="D549" s="82"/>
    </row>
    <row r="550">
      <c r="D550" s="82"/>
    </row>
    <row r="551">
      <c r="D551" s="82"/>
    </row>
    <row r="552">
      <c r="D552" s="82"/>
    </row>
    <row r="553">
      <c r="D553" s="82"/>
    </row>
    <row r="554">
      <c r="D554" s="82"/>
    </row>
    <row r="555">
      <c r="D555" s="82"/>
    </row>
    <row r="556">
      <c r="D556" s="82"/>
    </row>
    <row r="557">
      <c r="D557" s="82"/>
    </row>
    <row r="558">
      <c r="D558" s="82"/>
    </row>
    <row r="559">
      <c r="D559" s="82"/>
    </row>
    <row r="560">
      <c r="D560" s="82"/>
    </row>
    <row r="561">
      <c r="D561" s="82"/>
    </row>
    <row r="562">
      <c r="D562" s="82"/>
    </row>
    <row r="563">
      <c r="D563" s="82"/>
    </row>
    <row r="564">
      <c r="D564" s="82"/>
    </row>
    <row r="565">
      <c r="D565" s="82"/>
    </row>
    <row r="566">
      <c r="D566" s="82"/>
    </row>
    <row r="567">
      <c r="D567" s="82"/>
    </row>
    <row r="568">
      <c r="D568" s="82"/>
    </row>
    <row r="569">
      <c r="D569" s="82"/>
    </row>
    <row r="570">
      <c r="D570" s="82"/>
    </row>
    <row r="571">
      <c r="D571" s="82"/>
    </row>
    <row r="572">
      <c r="D572" s="82"/>
    </row>
    <row r="573">
      <c r="D573" s="82"/>
    </row>
    <row r="574">
      <c r="D574" s="82"/>
    </row>
    <row r="575">
      <c r="D575" s="82"/>
    </row>
    <row r="576">
      <c r="D576" s="82"/>
    </row>
    <row r="577">
      <c r="D577" s="82"/>
    </row>
    <row r="578">
      <c r="D578" s="82"/>
    </row>
    <row r="579">
      <c r="D579" s="82"/>
    </row>
    <row r="580">
      <c r="D580" s="82"/>
    </row>
    <row r="581">
      <c r="D581" s="82"/>
    </row>
    <row r="582">
      <c r="D582" s="82"/>
    </row>
    <row r="583">
      <c r="D583" s="82"/>
    </row>
    <row r="584">
      <c r="D584" s="82"/>
    </row>
    <row r="585">
      <c r="D585" s="82"/>
    </row>
    <row r="586">
      <c r="D586" s="82"/>
    </row>
    <row r="587">
      <c r="D587" s="82"/>
    </row>
    <row r="588">
      <c r="D588" s="82"/>
    </row>
    <row r="589">
      <c r="D589" s="82"/>
    </row>
    <row r="590">
      <c r="D590" s="82"/>
    </row>
    <row r="591">
      <c r="D591" s="82"/>
    </row>
    <row r="592">
      <c r="D592" s="82"/>
    </row>
    <row r="593">
      <c r="D593" s="82"/>
    </row>
    <row r="594">
      <c r="D594" s="82"/>
    </row>
    <row r="595">
      <c r="D595" s="82"/>
    </row>
    <row r="596">
      <c r="D596" s="82"/>
    </row>
    <row r="597">
      <c r="D597" s="82"/>
    </row>
    <row r="598">
      <c r="D598" s="82"/>
    </row>
    <row r="599">
      <c r="D599" s="82"/>
    </row>
    <row r="600">
      <c r="D600" s="82"/>
    </row>
    <row r="601">
      <c r="D601" s="82"/>
    </row>
    <row r="602">
      <c r="D602" s="82"/>
    </row>
    <row r="603">
      <c r="D603" s="82"/>
    </row>
    <row r="604">
      <c r="D604" s="82"/>
    </row>
    <row r="605">
      <c r="D605" s="82"/>
    </row>
    <row r="606">
      <c r="D606" s="82"/>
    </row>
    <row r="607">
      <c r="D607" s="82"/>
    </row>
    <row r="608">
      <c r="D608" s="82"/>
    </row>
    <row r="609">
      <c r="D609" s="82"/>
    </row>
    <row r="610">
      <c r="D610" s="82"/>
    </row>
    <row r="611">
      <c r="D611" s="82"/>
    </row>
    <row r="612">
      <c r="D612" s="82"/>
    </row>
    <row r="613">
      <c r="D613" s="82"/>
    </row>
    <row r="614">
      <c r="D614" s="82"/>
    </row>
    <row r="615">
      <c r="D615" s="82"/>
    </row>
    <row r="616">
      <c r="D616" s="82"/>
    </row>
    <row r="617">
      <c r="D617" s="82"/>
    </row>
    <row r="618">
      <c r="D618" s="82"/>
    </row>
    <row r="619">
      <c r="D619" s="82"/>
    </row>
    <row r="620">
      <c r="D620" s="82"/>
    </row>
    <row r="621">
      <c r="D621" s="82"/>
    </row>
    <row r="622">
      <c r="D622" s="82"/>
    </row>
    <row r="623">
      <c r="D623" s="82"/>
    </row>
    <row r="624">
      <c r="D624" s="82"/>
    </row>
    <row r="625">
      <c r="D625" s="82"/>
    </row>
    <row r="626">
      <c r="D626" s="82"/>
    </row>
    <row r="627">
      <c r="D627" s="82"/>
    </row>
    <row r="628">
      <c r="D628" s="82"/>
    </row>
    <row r="629">
      <c r="D629" s="82"/>
    </row>
    <row r="630">
      <c r="D630" s="82"/>
    </row>
    <row r="631">
      <c r="D631" s="82"/>
    </row>
    <row r="632">
      <c r="D632" s="82"/>
    </row>
    <row r="633">
      <c r="D633" s="82"/>
    </row>
    <row r="634">
      <c r="D634" s="82"/>
    </row>
    <row r="635">
      <c r="D635" s="82"/>
    </row>
    <row r="636">
      <c r="D636" s="82"/>
    </row>
    <row r="637">
      <c r="D637" s="82"/>
    </row>
    <row r="638">
      <c r="D638" s="82"/>
    </row>
    <row r="639">
      <c r="D639" s="82"/>
    </row>
    <row r="640">
      <c r="D640" s="82"/>
    </row>
    <row r="641">
      <c r="D641" s="82"/>
    </row>
    <row r="642">
      <c r="D642" s="82"/>
    </row>
    <row r="643">
      <c r="D643" s="82"/>
    </row>
    <row r="644">
      <c r="D644" s="82"/>
    </row>
    <row r="645">
      <c r="D645" s="82"/>
    </row>
    <row r="646">
      <c r="D646" s="82"/>
    </row>
    <row r="647">
      <c r="D647" s="82"/>
    </row>
    <row r="648">
      <c r="D648" s="82"/>
    </row>
    <row r="649">
      <c r="D649" s="82"/>
    </row>
    <row r="650">
      <c r="D650" s="82"/>
    </row>
    <row r="651">
      <c r="D651" s="82"/>
    </row>
    <row r="652">
      <c r="D652" s="82"/>
    </row>
    <row r="653">
      <c r="D653" s="82"/>
    </row>
    <row r="654">
      <c r="D654" s="82"/>
    </row>
    <row r="655">
      <c r="D655" s="82"/>
    </row>
    <row r="656">
      <c r="D656" s="82"/>
    </row>
    <row r="657">
      <c r="D657" s="82"/>
    </row>
    <row r="658">
      <c r="D658" s="82"/>
    </row>
    <row r="659">
      <c r="D659" s="82"/>
    </row>
    <row r="660">
      <c r="D660" s="82"/>
    </row>
    <row r="661">
      <c r="D661" s="82"/>
    </row>
    <row r="662">
      <c r="D662" s="82"/>
    </row>
    <row r="663">
      <c r="D663" s="82"/>
    </row>
    <row r="664">
      <c r="D664" s="82"/>
    </row>
    <row r="665">
      <c r="D665" s="82"/>
    </row>
    <row r="666">
      <c r="D666" s="82"/>
    </row>
    <row r="667">
      <c r="D667" s="82"/>
    </row>
    <row r="668">
      <c r="D668" s="82"/>
    </row>
    <row r="669">
      <c r="D669" s="82"/>
    </row>
    <row r="670">
      <c r="D670" s="82"/>
    </row>
    <row r="671">
      <c r="D671" s="82"/>
    </row>
    <row r="672">
      <c r="D672" s="82"/>
    </row>
    <row r="673">
      <c r="D673" s="82"/>
    </row>
    <row r="674">
      <c r="D674" s="82"/>
    </row>
    <row r="675">
      <c r="D675" s="82"/>
    </row>
    <row r="676">
      <c r="D676" s="82"/>
    </row>
    <row r="677">
      <c r="D677" s="82"/>
    </row>
    <row r="678">
      <c r="D678" s="82"/>
    </row>
    <row r="679">
      <c r="D679" s="82"/>
    </row>
    <row r="680">
      <c r="D680" s="82"/>
    </row>
    <row r="681">
      <c r="D681" s="82"/>
    </row>
    <row r="682">
      <c r="D682" s="82"/>
    </row>
    <row r="683">
      <c r="D683" s="82"/>
    </row>
    <row r="684">
      <c r="D684" s="82"/>
    </row>
    <row r="685">
      <c r="D685" s="82"/>
    </row>
    <row r="686">
      <c r="D686" s="82"/>
    </row>
    <row r="687">
      <c r="D687" s="82"/>
    </row>
    <row r="688">
      <c r="D688" s="82"/>
    </row>
    <row r="689">
      <c r="D689" s="82"/>
    </row>
    <row r="690">
      <c r="D690" s="82"/>
    </row>
    <row r="691">
      <c r="D691" s="82"/>
    </row>
    <row r="692">
      <c r="D692" s="82"/>
    </row>
    <row r="693">
      <c r="D693" s="82"/>
    </row>
    <row r="694">
      <c r="D694" s="82"/>
    </row>
    <row r="695">
      <c r="D695" s="82"/>
    </row>
    <row r="696">
      <c r="D696" s="82"/>
    </row>
    <row r="697">
      <c r="D697" s="82"/>
    </row>
    <row r="698">
      <c r="D698" s="82"/>
    </row>
    <row r="699">
      <c r="D699" s="82"/>
    </row>
    <row r="700">
      <c r="D700" s="82"/>
    </row>
    <row r="701">
      <c r="D701" s="82"/>
    </row>
    <row r="702">
      <c r="D702" s="82"/>
    </row>
    <row r="703">
      <c r="D703" s="82"/>
    </row>
    <row r="704">
      <c r="D704" s="82"/>
    </row>
    <row r="705">
      <c r="D705" s="82"/>
    </row>
    <row r="706">
      <c r="D706" s="82"/>
    </row>
    <row r="707">
      <c r="D707" s="82"/>
    </row>
    <row r="708">
      <c r="D708" s="82"/>
    </row>
    <row r="709">
      <c r="D709" s="82"/>
    </row>
    <row r="710">
      <c r="D710" s="82"/>
    </row>
    <row r="711">
      <c r="D711" s="82"/>
    </row>
    <row r="712">
      <c r="D712" s="82"/>
    </row>
    <row r="713">
      <c r="D713" s="82"/>
    </row>
    <row r="714">
      <c r="D714" s="82"/>
    </row>
    <row r="715">
      <c r="D715" s="82"/>
    </row>
    <row r="716">
      <c r="D716" s="82"/>
    </row>
    <row r="717">
      <c r="D717" s="82"/>
    </row>
    <row r="718">
      <c r="D718" s="82"/>
    </row>
    <row r="719">
      <c r="D719" s="82"/>
    </row>
    <row r="720">
      <c r="D720" s="82"/>
    </row>
    <row r="721">
      <c r="D721" s="82"/>
    </row>
    <row r="722">
      <c r="D722" s="82"/>
    </row>
    <row r="723">
      <c r="D723" s="82"/>
    </row>
    <row r="724">
      <c r="D724" s="82"/>
    </row>
    <row r="725">
      <c r="D725" s="82"/>
    </row>
    <row r="726">
      <c r="D726" s="82"/>
    </row>
    <row r="727">
      <c r="D727" s="82"/>
    </row>
    <row r="728">
      <c r="D728" s="82"/>
    </row>
    <row r="729">
      <c r="D729" s="82"/>
    </row>
    <row r="730">
      <c r="D730" s="82"/>
    </row>
    <row r="731">
      <c r="D731" s="82"/>
    </row>
    <row r="732">
      <c r="D732" s="82"/>
    </row>
    <row r="733">
      <c r="D733" s="82"/>
    </row>
    <row r="734">
      <c r="D734" s="82"/>
    </row>
    <row r="735">
      <c r="D735" s="82"/>
    </row>
    <row r="736">
      <c r="D736" s="82"/>
    </row>
    <row r="737">
      <c r="D737" s="82"/>
    </row>
    <row r="738">
      <c r="D738" s="82"/>
    </row>
    <row r="739">
      <c r="D739" s="82"/>
    </row>
    <row r="740">
      <c r="D740" s="82"/>
    </row>
    <row r="741">
      <c r="D741" s="82"/>
    </row>
    <row r="742">
      <c r="D742" s="82"/>
    </row>
    <row r="743">
      <c r="D743" s="82"/>
    </row>
    <row r="744">
      <c r="D744" s="82"/>
    </row>
    <row r="745">
      <c r="D745" s="82"/>
    </row>
    <row r="746">
      <c r="D746" s="82"/>
    </row>
    <row r="747">
      <c r="D747" s="82"/>
    </row>
    <row r="748">
      <c r="D748" s="82"/>
    </row>
    <row r="749">
      <c r="D749" s="82"/>
    </row>
    <row r="750">
      <c r="D750" s="82"/>
    </row>
    <row r="751">
      <c r="D751" s="82"/>
    </row>
    <row r="752">
      <c r="D752" s="82"/>
    </row>
    <row r="753">
      <c r="D753" s="82"/>
    </row>
    <row r="754">
      <c r="D754" s="82"/>
    </row>
    <row r="755">
      <c r="D755" s="82"/>
    </row>
    <row r="756">
      <c r="D756" s="82"/>
    </row>
    <row r="757">
      <c r="D757" s="82"/>
    </row>
    <row r="758">
      <c r="D758" s="82"/>
    </row>
    <row r="759">
      <c r="D759" s="82"/>
    </row>
    <row r="760">
      <c r="D760" s="82"/>
    </row>
    <row r="761">
      <c r="D761" s="82"/>
    </row>
    <row r="762">
      <c r="D762" s="82"/>
    </row>
    <row r="763">
      <c r="D763" s="82"/>
    </row>
    <row r="764">
      <c r="D764" s="82"/>
    </row>
    <row r="765">
      <c r="D765" s="82"/>
    </row>
    <row r="766">
      <c r="D766" s="82"/>
    </row>
    <row r="767">
      <c r="D767" s="82"/>
    </row>
    <row r="768">
      <c r="D768" s="82"/>
    </row>
    <row r="769">
      <c r="D769" s="82"/>
    </row>
    <row r="770">
      <c r="D770" s="82"/>
    </row>
    <row r="771">
      <c r="D771" s="82"/>
    </row>
    <row r="772">
      <c r="D772" s="82"/>
    </row>
    <row r="773">
      <c r="D773" s="82"/>
    </row>
    <row r="774">
      <c r="D774" s="82"/>
    </row>
    <row r="775">
      <c r="D775" s="82"/>
    </row>
    <row r="776">
      <c r="D776" s="82"/>
    </row>
    <row r="777">
      <c r="D777" s="82"/>
    </row>
    <row r="778">
      <c r="D778" s="82"/>
    </row>
    <row r="779">
      <c r="D779" s="82"/>
    </row>
    <row r="780">
      <c r="D780" s="82"/>
    </row>
    <row r="781">
      <c r="D781" s="82"/>
    </row>
    <row r="782">
      <c r="D782" s="82"/>
    </row>
    <row r="783">
      <c r="D783" s="82"/>
    </row>
    <row r="784">
      <c r="D784" s="82"/>
    </row>
    <row r="785">
      <c r="D785" s="82"/>
    </row>
    <row r="786">
      <c r="D786" s="82"/>
    </row>
    <row r="787">
      <c r="D787" s="82"/>
    </row>
    <row r="788">
      <c r="D788" s="82"/>
    </row>
    <row r="789">
      <c r="D789" s="82"/>
    </row>
    <row r="790">
      <c r="D790" s="82"/>
    </row>
    <row r="791">
      <c r="D791" s="82"/>
    </row>
    <row r="792">
      <c r="D792" s="82"/>
    </row>
    <row r="793">
      <c r="D793" s="82"/>
    </row>
    <row r="794">
      <c r="D794" s="82"/>
    </row>
    <row r="795">
      <c r="D795" s="82"/>
    </row>
    <row r="796">
      <c r="D796" s="82"/>
    </row>
    <row r="797">
      <c r="D797" s="82"/>
    </row>
    <row r="798">
      <c r="D798" s="82"/>
    </row>
    <row r="799">
      <c r="D799" s="82"/>
    </row>
    <row r="800">
      <c r="D800" s="82"/>
    </row>
    <row r="801">
      <c r="D801" s="82"/>
    </row>
    <row r="802">
      <c r="D802" s="82"/>
    </row>
    <row r="803">
      <c r="D803" s="82"/>
    </row>
    <row r="804">
      <c r="D804" s="82"/>
    </row>
    <row r="805">
      <c r="D805" s="82"/>
    </row>
    <row r="806">
      <c r="D806" s="82"/>
    </row>
    <row r="807">
      <c r="D807" s="82"/>
    </row>
    <row r="808">
      <c r="D808" s="82"/>
    </row>
    <row r="809">
      <c r="D809" s="82"/>
    </row>
    <row r="810">
      <c r="D810" s="82"/>
    </row>
    <row r="811">
      <c r="D811" s="82"/>
    </row>
    <row r="812">
      <c r="D812" s="82"/>
    </row>
    <row r="813">
      <c r="D813" s="82"/>
    </row>
    <row r="814">
      <c r="D814" s="82"/>
    </row>
    <row r="815">
      <c r="D815" s="82"/>
    </row>
    <row r="816">
      <c r="D816" s="82"/>
    </row>
    <row r="817">
      <c r="D817" s="82"/>
    </row>
    <row r="818">
      <c r="D818" s="82"/>
    </row>
    <row r="819">
      <c r="D819" s="82"/>
    </row>
    <row r="820">
      <c r="D820" s="82"/>
    </row>
    <row r="821">
      <c r="D821" s="82"/>
    </row>
    <row r="822">
      <c r="D822" s="82"/>
    </row>
    <row r="823">
      <c r="D823" s="82"/>
    </row>
    <row r="824">
      <c r="D824" s="82"/>
    </row>
    <row r="825">
      <c r="D825" s="82"/>
    </row>
    <row r="826">
      <c r="D826" s="82"/>
    </row>
    <row r="827">
      <c r="D827" s="82"/>
    </row>
    <row r="828">
      <c r="D828" s="82"/>
    </row>
    <row r="829">
      <c r="D829" s="82"/>
    </row>
    <row r="830">
      <c r="D830" s="82"/>
    </row>
    <row r="831">
      <c r="D831" s="82"/>
    </row>
    <row r="832">
      <c r="D832" s="82"/>
    </row>
    <row r="833">
      <c r="D833" s="82"/>
    </row>
    <row r="834">
      <c r="D834" s="82"/>
    </row>
    <row r="835">
      <c r="D835" s="82"/>
    </row>
    <row r="836">
      <c r="D836" s="82"/>
    </row>
    <row r="837">
      <c r="D837" s="82"/>
    </row>
    <row r="838">
      <c r="D838" s="82"/>
    </row>
    <row r="839">
      <c r="D839" s="82"/>
    </row>
    <row r="840">
      <c r="D840" s="82"/>
    </row>
    <row r="841">
      <c r="D841" s="82"/>
    </row>
    <row r="842">
      <c r="D842" s="82"/>
    </row>
    <row r="843">
      <c r="D843" s="82"/>
    </row>
    <row r="844">
      <c r="D844" s="82"/>
    </row>
    <row r="845">
      <c r="D845" s="82"/>
    </row>
    <row r="846">
      <c r="D846" s="82"/>
    </row>
    <row r="847">
      <c r="D847" s="82"/>
    </row>
    <row r="848">
      <c r="D848" s="82"/>
    </row>
    <row r="849">
      <c r="D849" s="82"/>
    </row>
    <row r="850">
      <c r="D850" s="82"/>
    </row>
    <row r="851">
      <c r="D851" s="82"/>
    </row>
    <row r="852">
      <c r="D852" s="82"/>
    </row>
    <row r="853">
      <c r="D853" s="82"/>
    </row>
    <row r="854">
      <c r="D854" s="82"/>
    </row>
    <row r="855">
      <c r="D855" s="82"/>
    </row>
    <row r="856">
      <c r="D856" s="82"/>
    </row>
    <row r="857">
      <c r="D857" s="82"/>
    </row>
    <row r="858">
      <c r="D858" s="82"/>
    </row>
    <row r="859">
      <c r="D859" s="82"/>
    </row>
    <row r="860">
      <c r="D860" s="82"/>
    </row>
    <row r="861">
      <c r="D861" s="82"/>
    </row>
    <row r="862">
      <c r="D862" s="82"/>
    </row>
    <row r="863">
      <c r="D863" s="82"/>
    </row>
    <row r="864">
      <c r="D864" s="82"/>
    </row>
    <row r="865">
      <c r="D865" s="82"/>
    </row>
    <row r="866">
      <c r="D866" s="82"/>
    </row>
    <row r="867">
      <c r="D867" s="82"/>
    </row>
    <row r="868">
      <c r="D868" s="82"/>
    </row>
    <row r="869">
      <c r="D869" s="82"/>
    </row>
    <row r="870">
      <c r="D870" s="82"/>
    </row>
    <row r="871">
      <c r="D871" s="82"/>
    </row>
    <row r="872">
      <c r="D872" s="82"/>
    </row>
    <row r="873">
      <c r="D873" s="82"/>
    </row>
    <row r="874">
      <c r="D874" s="82"/>
    </row>
    <row r="875">
      <c r="D875" s="82"/>
    </row>
    <row r="876">
      <c r="D876" s="82"/>
    </row>
    <row r="877">
      <c r="D877" s="82"/>
    </row>
    <row r="878">
      <c r="D878" s="82"/>
    </row>
    <row r="879">
      <c r="D879" s="82"/>
    </row>
    <row r="880">
      <c r="D880" s="82"/>
    </row>
    <row r="881">
      <c r="D881" s="82"/>
    </row>
    <row r="882">
      <c r="D882" s="82"/>
    </row>
    <row r="883">
      <c r="D883" s="82"/>
    </row>
    <row r="884">
      <c r="D884" s="82"/>
    </row>
    <row r="885">
      <c r="D885" s="82"/>
    </row>
    <row r="886">
      <c r="D886" s="82"/>
    </row>
    <row r="887">
      <c r="D887" s="82"/>
    </row>
    <row r="888">
      <c r="D888" s="82"/>
    </row>
    <row r="889">
      <c r="D889" s="82"/>
    </row>
    <row r="890">
      <c r="D890" s="82"/>
    </row>
    <row r="891">
      <c r="D891" s="82"/>
    </row>
    <row r="892">
      <c r="D892" s="82"/>
    </row>
    <row r="893">
      <c r="D893" s="82"/>
    </row>
    <row r="894">
      <c r="D894" s="82"/>
    </row>
    <row r="895">
      <c r="D895" s="82"/>
    </row>
    <row r="896">
      <c r="D896" s="82"/>
    </row>
    <row r="897">
      <c r="D897" s="82"/>
    </row>
    <row r="898">
      <c r="D898" s="82"/>
    </row>
    <row r="899">
      <c r="D899" s="82"/>
    </row>
    <row r="900">
      <c r="D900" s="82"/>
    </row>
    <row r="901">
      <c r="D901" s="82"/>
    </row>
    <row r="902">
      <c r="D902" s="82"/>
    </row>
    <row r="903">
      <c r="D903" s="82"/>
    </row>
    <row r="904">
      <c r="D904" s="82"/>
    </row>
    <row r="905">
      <c r="D905" s="82"/>
    </row>
    <row r="906">
      <c r="D906" s="82"/>
    </row>
    <row r="907">
      <c r="D907" s="82"/>
    </row>
    <row r="908">
      <c r="D908" s="82"/>
    </row>
    <row r="909">
      <c r="D909" s="82"/>
    </row>
    <row r="910">
      <c r="D910" s="82"/>
    </row>
    <row r="911">
      <c r="D911" s="82"/>
    </row>
    <row r="912">
      <c r="D912" s="82"/>
    </row>
    <row r="913">
      <c r="D913" s="82"/>
    </row>
    <row r="914">
      <c r="D914" s="82"/>
    </row>
    <row r="915">
      <c r="D915" s="82"/>
    </row>
    <row r="916">
      <c r="D916" s="82"/>
    </row>
    <row r="917">
      <c r="D917" s="82"/>
    </row>
    <row r="918">
      <c r="D918" s="82"/>
    </row>
    <row r="919">
      <c r="D919" s="82"/>
    </row>
    <row r="920">
      <c r="D920" s="82"/>
    </row>
    <row r="921">
      <c r="D921" s="82"/>
    </row>
    <row r="922">
      <c r="D922" s="82"/>
    </row>
    <row r="923">
      <c r="D923" s="82"/>
    </row>
    <row r="924">
      <c r="D924" s="82"/>
    </row>
    <row r="925">
      <c r="D925" s="82"/>
    </row>
    <row r="926">
      <c r="D926" s="82"/>
    </row>
    <row r="927">
      <c r="D927" s="82"/>
    </row>
    <row r="928">
      <c r="D928" s="82"/>
    </row>
    <row r="929">
      <c r="D929" s="82"/>
    </row>
    <row r="930">
      <c r="D930" s="82"/>
    </row>
    <row r="931">
      <c r="D931" s="82"/>
    </row>
    <row r="932">
      <c r="D932" s="82"/>
    </row>
    <row r="933">
      <c r="D933" s="82"/>
    </row>
    <row r="934">
      <c r="D934" s="82"/>
    </row>
    <row r="935">
      <c r="D935" s="82"/>
    </row>
    <row r="936">
      <c r="D936" s="82"/>
    </row>
    <row r="937">
      <c r="D937" s="82"/>
    </row>
    <row r="938">
      <c r="D938" s="82"/>
    </row>
    <row r="939">
      <c r="D939" s="82"/>
    </row>
    <row r="940">
      <c r="D940" s="82"/>
    </row>
    <row r="941">
      <c r="D941" s="82"/>
    </row>
    <row r="942">
      <c r="D942" s="82"/>
    </row>
    <row r="943">
      <c r="D943" s="82"/>
    </row>
    <row r="944">
      <c r="D944" s="82"/>
    </row>
    <row r="945">
      <c r="D945" s="82"/>
    </row>
    <row r="946">
      <c r="D946" s="82"/>
    </row>
    <row r="947">
      <c r="D947" s="82"/>
    </row>
    <row r="948">
      <c r="D948" s="82"/>
    </row>
    <row r="949">
      <c r="D949" s="82"/>
    </row>
    <row r="950">
      <c r="D950" s="82"/>
    </row>
    <row r="951">
      <c r="D951" s="82"/>
    </row>
    <row r="952">
      <c r="D952" s="82"/>
    </row>
    <row r="953">
      <c r="D953" s="82"/>
    </row>
    <row r="954">
      <c r="D954" s="82"/>
    </row>
    <row r="955">
      <c r="D955" s="82"/>
    </row>
    <row r="956">
      <c r="D956" s="82"/>
    </row>
    <row r="957">
      <c r="D957" s="82"/>
    </row>
    <row r="958">
      <c r="D958" s="82"/>
    </row>
    <row r="959">
      <c r="D959" s="82"/>
    </row>
    <row r="960">
      <c r="D960" s="82"/>
    </row>
    <row r="961">
      <c r="D961" s="82"/>
    </row>
    <row r="962">
      <c r="D962" s="82"/>
    </row>
    <row r="963">
      <c r="D963" s="82"/>
    </row>
    <row r="964">
      <c r="D964" s="82"/>
    </row>
    <row r="965">
      <c r="D965" s="82"/>
    </row>
    <row r="966">
      <c r="D966" s="82"/>
    </row>
    <row r="967">
      <c r="D967" s="82"/>
    </row>
    <row r="968">
      <c r="D968" s="82"/>
    </row>
    <row r="969">
      <c r="D969" s="82"/>
    </row>
    <row r="970">
      <c r="D970" s="82"/>
    </row>
    <row r="971">
      <c r="D971" s="82"/>
    </row>
    <row r="972">
      <c r="D972" s="82"/>
    </row>
    <row r="973">
      <c r="D973" s="82"/>
    </row>
    <row r="974">
      <c r="D974" s="82"/>
    </row>
    <row r="975">
      <c r="D975" s="82"/>
    </row>
    <row r="976">
      <c r="D976" s="82"/>
    </row>
    <row r="977">
      <c r="D977" s="82"/>
    </row>
    <row r="978">
      <c r="D978" s="82"/>
    </row>
    <row r="979">
      <c r="D979" s="82"/>
    </row>
    <row r="980">
      <c r="D980" s="82"/>
    </row>
    <row r="981">
      <c r="D981" s="82"/>
    </row>
    <row r="982">
      <c r="D982" s="82"/>
    </row>
    <row r="983">
      <c r="D983" s="82"/>
    </row>
    <row r="984">
      <c r="D984" s="82"/>
    </row>
    <row r="985">
      <c r="D985" s="82"/>
    </row>
    <row r="986">
      <c r="D986" s="82"/>
    </row>
    <row r="987">
      <c r="D987" s="82"/>
    </row>
    <row r="988">
      <c r="D988" s="82"/>
    </row>
    <row r="989">
      <c r="D989" s="82"/>
    </row>
    <row r="990">
      <c r="D990" s="82"/>
    </row>
    <row r="991">
      <c r="D991" s="82"/>
    </row>
    <row r="992">
      <c r="D992" s="82"/>
    </row>
    <row r="993">
      <c r="D993" s="8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2"/>
      <c r="B1" s="62"/>
      <c r="C1" s="83" t="s">
        <v>98</v>
      </c>
      <c r="D1" s="83" t="s">
        <v>99</v>
      </c>
      <c r="E1" s="83" t="s">
        <v>100</v>
      </c>
      <c r="F1" s="83" t="s">
        <v>101</v>
      </c>
      <c r="G1" s="83" t="s">
        <v>21</v>
      </c>
      <c r="H1" s="83" t="s">
        <v>102</v>
      </c>
      <c r="I1" s="83" t="s">
        <v>103</v>
      </c>
      <c r="J1" s="83" t="s">
        <v>104</v>
      </c>
      <c r="K1" s="83" t="s">
        <v>105</v>
      </c>
      <c r="L1" s="83" t="s">
        <v>106</v>
      </c>
      <c r="M1" s="83" t="s">
        <v>107</v>
      </c>
      <c r="N1" s="83" t="s">
        <v>108</v>
      </c>
    </row>
    <row r="2">
      <c r="A2" s="62"/>
      <c r="B2" s="83"/>
      <c r="C2" s="84">
        <f t="shared" ref="C2:N2" si="1">SUM(C3:C52)</f>
        <v>24</v>
      </c>
      <c r="D2" s="84">
        <f t="shared" si="1"/>
        <v>19</v>
      </c>
      <c r="E2" s="84">
        <f t="shared" si="1"/>
        <v>21</v>
      </c>
      <c r="F2" s="84">
        <f t="shared" si="1"/>
        <v>24</v>
      </c>
      <c r="G2" s="84">
        <f t="shared" si="1"/>
        <v>20</v>
      </c>
      <c r="H2" s="84">
        <f t="shared" si="1"/>
        <v>21</v>
      </c>
      <c r="I2" s="84">
        <f t="shared" si="1"/>
        <v>23</v>
      </c>
      <c r="J2" s="84">
        <f t="shared" si="1"/>
        <v>19</v>
      </c>
      <c r="K2" s="84">
        <f t="shared" si="1"/>
        <v>22</v>
      </c>
      <c r="L2" s="84">
        <f t="shared" si="1"/>
        <v>23</v>
      </c>
      <c r="M2" s="84">
        <f t="shared" si="1"/>
        <v>19</v>
      </c>
      <c r="N2" s="84">
        <f t="shared" si="1"/>
        <v>21</v>
      </c>
    </row>
    <row r="3">
      <c r="A3" s="62"/>
      <c r="B3" s="83" t="str">
        <f>('Portfolio Details'!B3)</f>
        <v>AAPL</v>
      </c>
      <c r="C3" s="84"/>
      <c r="D3" s="85">
        <v>1.0</v>
      </c>
      <c r="E3" s="84"/>
      <c r="F3" s="84"/>
      <c r="G3" s="85">
        <v>1.0</v>
      </c>
      <c r="H3" s="84"/>
      <c r="I3" s="84"/>
      <c r="J3" s="86">
        <f>(D3)</f>
        <v>1</v>
      </c>
      <c r="K3" s="84"/>
      <c r="L3" s="84"/>
      <c r="M3" s="86">
        <f>(D3)</f>
        <v>1</v>
      </c>
      <c r="N3" s="84"/>
    </row>
    <row r="4">
      <c r="A4" s="62"/>
      <c r="B4" s="83" t="str">
        <f>('Portfolio Details'!B4)</f>
        <v>O</v>
      </c>
      <c r="C4" s="85">
        <v>1.0</v>
      </c>
      <c r="D4" s="87">
        <f t="shared" ref="D4:N4" si="2">(C4)</f>
        <v>1</v>
      </c>
      <c r="E4" s="87">
        <f t="shared" si="2"/>
        <v>1</v>
      </c>
      <c r="F4" s="87">
        <f t="shared" si="2"/>
        <v>1</v>
      </c>
      <c r="G4" s="87">
        <f t="shared" si="2"/>
        <v>1</v>
      </c>
      <c r="H4" s="87">
        <f t="shared" si="2"/>
        <v>1</v>
      </c>
      <c r="I4" s="87">
        <f t="shared" si="2"/>
        <v>1</v>
      </c>
      <c r="J4" s="87">
        <f t="shared" si="2"/>
        <v>1</v>
      </c>
      <c r="K4" s="87">
        <f t="shared" si="2"/>
        <v>1</v>
      </c>
      <c r="L4" s="87">
        <f t="shared" si="2"/>
        <v>1</v>
      </c>
      <c r="M4" s="87">
        <f t="shared" si="2"/>
        <v>1</v>
      </c>
      <c r="N4" s="87">
        <f t="shared" si="2"/>
        <v>1</v>
      </c>
    </row>
    <row r="5">
      <c r="A5" s="62"/>
      <c r="B5" s="83" t="str">
        <f>('Portfolio Details'!B5)</f>
        <v>JNJ</v>
      </c>
      <c r="C5" s="84"/>
      <c r="D5" s="84"/>
      <c r="E5" s="88">
        <v>1.0</v>
      </c>
      <c r="F5" s="84"/>
      <c r="G5" s="84"/>
      <c r="H5" s="89">
        <f>(E5)</f>
        <v>1</v>
      </c>
      <c r="I5" s="84"/>
      <c r="J5" s="84"/>
      <c r="K5" s="86">
        <f>(E5)</f>
        <v>1</v>
      </c>
      <c r="L5" s="84"/>
      <c r="M5" s="84"/>
      <c r="N5" s="86">
        <f>(E5)</f>
        <v>1</v>
      </c>
    </row>
    <row r="6">
      <c r="A6" s="62"/>
      <c r="B6" s="83" t="str">
        <f>('Portfolio Details'!B6)</f>
        <v>CNQ</v>
      </c>
      <c r="C6" s="88">
        <v>1.0</v>
      </c>
      <c r="D6" s="84"/>
      <c r="E6" s="84"/>
      <c r="F6" s="89">
        <f>(C6)</f>
        <v>1</v>
      </c>
      <c r="G6" s="84"/>
      <c r="H6" s="84"/>
      <c r="I6" s="86">
        <f>(C6)</f>
        <v>1</v>
      </c>
      <c r="J6" s="84"/>
      <c r="K6" s="84"/>
      <c r="L6" s="86">
        <f>(C6)</f>
        <v>1</v>
      </c>
      <c r="M6" s="84"/>
      <c r="N6" s="84"/>
    </row>
    <row r="7">
      <c r="A7" s="62"/>
      <c r="B7" s="83" t="str">
        <f>('Portfolio Details'!B7)</f>
        <v>PEP</v>
      </c>
      <c r="C7" s="88">
        <v>1.0</v>
      </c>
      <c r="D7" s="84"/>
      <c r="E7" s="89">
        <f>(C7)</f>
        <v>1</v>
      </c>
      <c r="F7" s="84"/>
      <c r="G7" s="84"/>
      <c r="H7" s="89">
        <f>(C7)</f>
        <v>1</v>
      </c>
      <c r="I7" s="84"/>
      <c r="J7" s="84"/>
      <c r="K7" s="89">
        <f>(C7)</f>
        <v>1</v>
      </c>
      <c r="L7" s="84"/>
      <c r="M7" s="84"/>
      <c r="N7" s="84"/>
    </row>
    <row r="8">
      <c r="A8" s="62"/>
      <c r="B8" s="83" t="str">
        <f>('Portfolio Details'!B8)</f>
        <v>PG</v>
      </c>
      <c r="C8" s="84"/>
      <c r="D8" s="88">
        <v>1.0</v>
      </c>
      <c r="E8" s="84"/>
      <c r="F8" s="84"/>
      <c r="G8" s="88">
        <v>1.0</v>
      </c>
      <c r="H8" s="84"/>
      <c r="I8" s="84"/>
      <c r="J8" s="90">
        <v>1.0</v>
      </c>
      <c r="K8" s="84"/>
      <c r="L8" s="84"/>
      <c r="M8" s="90">
        <v>1.0</v>
      </c>
      <c r="N8" s="84"/>
    </row>
    <row r="9">
      <c r="A9" s="62"/>
      <c r="B9" s="83" t="str">
        <f>('Portfolio Details'!B9)</f>
        <v>LTC</v>
      </c>
      <c r="C9" s="88">
        <v>1.0</v>
      </c>
      <c r="D9" s="89">
        <f t="shared" ref="D9:N9" si="3">(C9)</f>
        <v>1</v>
      </c>
      <c r="E9" s="89">
        <f t="shared" si="3"/>
        <v>1</v>
      </c>
      <c r="F9" s="89">
        <f t="shared" si="3"/>
        <v>1</v>
      </c>
      <c r="G9" s="89">
        <f t="shared" si="3"/>
        <v>1</v>
      </c>
      <c r="H9" s="89">
        <f t="shared" si="3"/>
        <v>1</v>
      </c>
      <c r="I9" s="89">
        <f t="shared" si="3"/>
        <v>1</v>
      </c>
      <c r="J9" s="89">
        <f t="shared" si="3"/>
        <v>1</v>
      </c>
      <c r="K9" s="89">
        <f t="shared" si="3"/>
        <v>1</v>
      </c>
      <c r="L9" s="89">
        <f t="shared" si="3"/>
        <v>1</v>
      </c>
      <c r="M9" s="89">
        <f t="shared" si="3"/>
        <v>1</v>
      </c>
      <c r="N9" s="89">
        <f t="shared" si="3"/>
        <v>1</v>
      </c>
    </row>
    <row r="10">
      <c r="A10" s="62"/>
      <c r="B10" s="83" t="str">
        <f>('Portfolio Details'!B10)</f>
        <v>MCD</v>
      </c>
      <c r="C10" s="84"/>
      <c r="D10" s="84"/>
      <c r="E10" s="88">
        <v>1.0</v>
      </c>
      <c r="F10" s="84"/>
      <c r="G10" s="84"/>
      <c r="H10" s="89">
        <f>(E10)</f>
        <v>1</v>
      </c>
      <c r="I10" s="84"/>
      <c r="J10" s="84"/>
      <c r="K10" s="89">
        <f>(E10)</f>
        <v>1</v>
      </c>
      <c r="L10" s="84"/>
      <c r="M10" s="84"/>
      <c r="N10" s="89">
        <f>(H10)</f>
        <v>1</v>
      </c>
    </row>
    <row r="11">
      <c r="A11" s="62"/>
      <c r="B11" s="83" t="str">
        <f>('Portfolio Details'!B11)</f>
        <v>JPM</v>
      </c>
      <c r="C11" s="88">
        <v>1.0</v>
      </c>
      <c r="D11" s="84"/>
      <c r="E11" s="84"/>
      <c r="F11" s="89">
        <f>(C11)</f>
        <v>1</v>
      </c>
      <c r="G11" s="84"/>
      <c r="H11" s="84"/>
      <c r="I11" s="89">
        <f t="shared" ref="I11:I12" si="4">(F11)</f>
        <v>1</v>
      </c>
      <c r="J11" s="84"/>
      <c r="K11" s="84"/>
      <c r="L11" s="89">
        <f t="shared" ref="L11:L12" si="5">(I11)</f>
        <v>1</v>
      </c>
      <c r="M11" s="84"/>
      <c r="N11" s="84"/>
    </row>
    <row r="12">
      <c r="A12" s="62"/>
      <c r="B12" s="83" t="str">
        <f>('Portfolio Details'!B12)</f>
        <v>KO</v>
      </c>
      <c r="C12" s="84"/>
      <c r="D12" s="84"/>
      <c r="E12" s="84"/>
      <c r="F12" s="88">
        <v>1.0</v>
      </c>
      <c r="G12" s="84"/>
      <c r="H12" s="84"/>
      <c r="I12" s="89">
        <f t="shared" si="4"/>
        <v>1</v>
      </c>
      <c r="J12" s="84"/>
      <c r="K12" s="84"/>
      <c r="L12" s="89">
        <f t="shared" si="5"/>
        <v>1</v>
      </c>
      <c r="M12" s="84"/>
      <c r="N12" s="89">
        <f>(L12)</f>
        <v>1</v>
      </c>
    </row>
    <row r="13">
      <c r="A13" s="62"/>
      <c r="B13" s="83" t="str">
        <f>('Portfolio Details'!B13)</f>
        <v>MA</v>
      </c>
      <c r="C13" s="84"/>
      <c r="D13" s="88">
        <v>1.0</v>
      </c>
      <c r="E13" s="84"/>
      <c r="F13" s="84"/>
      <c r="G13" s="89">
        <f>(D13)</f>
        <v>1</v>
      </c>
      <c r="H13" s="84"/>
      <c r="I13" s="84"/>
      <c r="J13" s="89">
        <f>(G13)</f>
        <v>1</v>
      </c>
      <c r="K13" s="84"/>
      <c r="L13" s="84"/>
      <c r="M13" s="89">
        <f>(J13)</f>
        <v>1</v>
      </c>
      <c r="N13" s="84"/>
    </row>
    <row r="14">
      <c r="A14" s="62"/>
      <c r="B14" s="83" t="str">
        <f>('Portfolio Details'!B14)</f>
        <v>IBM</v>
      </c>
      <c r="C14" s="84"/>
      <c r="D14" s="84"/>
      <c r="E14" s="88">
        <v>1.0</v>
      </c>
      <c r="F14" s="84"/>
      <c r="G14" s="84"/>
      <c r="H14" s="89">
        <f>(E14)</f>
        <v>1</v>
      </c>
      <c r="I14" s="91"/>
      <c r="J14" s="84"/>
      <c r="K14" s="89">
        <f>(H14)</f>
        <v>1</v>
      </c>
      <c r="L14" s="91"/>
      <c r="M14" s="84"/>
      <c r="N14" s="89">
        <f>(K14)</f>
        <v>1</v>
      </c>
    </row>
    <row r="15">
      <c r="A15" s="62"/>
      <c r="B15" s="83" t="str">
        <f>('Portfolio Details'!B15)</f>
        <v>CAH</v>
      </c>
      <c r="C15" s="88">
        <v>1.0</v>
      </c>
      <c r="D15" s="84"/>
      <c r="E15" s="84"/>
      <c r="F15" s="89">
        <f>(C15)</f>
        <v>1</v>
      </c>
      <c r="G15" s="84"/>
      <c r="H15" s="84"/>
      <c r="I15" s="86">
        <f>(C15)</f>
        <v>1</v>
      </c>
      <c r="J15" s="91"/>
      <c r="K15" s="84"/>
      <c r="L15" s="86">
        <f>(C15)</f>
        <v>1</v>
      </c>
      <c r="M15" s="91"/>
      <c r="N15" s="84"/>
    </row>
    <row r="16">
      <c r="A16" s="62"/>
      <c r="B16" s="83" t="str">
        <f>('Portfolio Details'!B16)</f>
        <v>GD</v>
      </c>
      <c r="C16" s="84"/>
      <c r="D16" s="88">
        <v>1.0</v>
      </c>
      <c r="E16" s="84"/>
      <c r="F16" s="84"/>
      <c r="G16" s="89">
        <f t="shared" ref="G16:G18" si="6">(D16)</f>
        <v>1</v>
      </c>
      <c r="H16" s="84"/>
      <c r="I16" s="84"/>
      <c r="J16" s="86">
        <f t="shared" ref="J16:J18" si="7">(D16)</f>
        <v>1</v>
      </c>
      <c r="K16" s="84"/>
      <c r="L16" s="84"/>
      <c r="M16" s="86">
        <f t="shared" ref="M16:M18" si="8">(D16)</f>
        <v>1</v>
      </c>
      <c r="N16" s="84"/>
    </row>
    <row r="17">
      <c r="A17" s="62"/>
      <c r="B17" s="83" t="str">
        <f>('Portfolio Details'!B17)</f>
        <v>RY</v>
      </c>
      <c r="C17" s="84"/>
      <c r="D17" s="88">
        <v>1.0</v>
      </c>
      <c r="E17" s="84"/>
      <c r="F17" s="84"/>
      <c r="G17" s="89">
        <f t="shared" si="6"/>
        <v>1</v>
      </c>
      <c r="H17" s="84"/>
      <c r="I17" s="84"/>
      <c r="J17" s="86">
        <f t="shared" si="7"/>
        <v>1</v>
      </c>
      <c r="K17" s="84"/>
      <c r="L17" s="84"/>
      <c r="M17" s="86">
        <f t="shared" si="8"/>
        <v>1</v>
      </c>
      <c r="N17" s="84"/>
    </row>
    <row r="18">
      <c r="A18" s="62"/>
      <c r="B18" s="83" t="str">
        <f>('Portfolio Details'!B18)</f>
        <v>BMO</v>
      </c>
      <c r="C18" s="84"/>
      <c r="D18" s="88">
        <v>1.0</v>
      </c>
      <c r="E18" s="84"/>
      <c r="F18" s="84"/>
      <c r="G18" s="89">
        <f t="shared" si="6"/>
        <v>1</v>
      </c>
      <c r="H18" s="84"/>
      <c r="I18" s="84"/>
      <c r="J18" s="86">
        <f t="shared" si="7"/>
        <v>1</v>
      </c>
      <c r="K18" s="84"/>
      <c r="L18" s="84"/>
      <c r="M18" s="86">
        <f t="shared" si="8"/>
        <v>1</v>
      </c>
      <c r="N18" s="84"/>
    </row>
    <row r="19">
      <c r="A19" s="62"/>
      <c r="B19" s="83" t="str">
        <f>('Portfolio Details'!B19)</f>
        <v>MSFT</v>
      </c>
      <c r="C19" s="84"/>
      <c r="D19" s="84"/>
      <c r="E19" s="88">
        <v>1.0</v>
      </c>
      <c r="F19" s="84"/>
      <c r="G19" s="84"/>
      <c r="H19" s="89">
        <f>(E19)</f>
        <v>1</v>
      </c>
      <c r="I19" s="84"/>
      <c r="J19" s="84"/>
      <c r="K19" s="89">
        <f>(H19)</f>
        <v>1</v>
      </c>
      <c r="L19" s="84"/>
      <c r="M19" s="84"/>
      <c r="N19" s="89">
        <f>(K19)</f>
        <v>1</v>
      </c>
    </row>
    <row r="20">
      <c r="A20" s="62"/>
      <c r="B20" s="83" t="str">
        <f>('Portfolio Details'!B20)</f>
        <v>BNS</v>
      </c>
      <c r="C20" s="88">
        <v>1.0</v>
      </c>
      <c r="D20" s="84"/>
      <c r="E20" s="84"/>
      <c r="F20" s="89">
        <f t="shared" ref="F20:F21" si="9">(C20)</f>
        <v>1</v>
      </c>
      <c r="G20" s="84"/>
      <c r="H20" s="84"/>
      <c r="I20" s="89">
        <f t="shared" ref="I20:I24" si="10">(C20)</f>
        <v>1</v>
      </c>
      <c r="J20" s="84"/>
      <c r="K20" s="84"/>
      <c r="L20" s="89">
        <f t="shared" ref="L20:L24" si="11">(C20)</f>
        <v>1</v>
      </c>
      <c r="M20" s="84"/>
      <c r="N20" s="84"/>
    </row>
    <row r="21">
      <c r="A21" s="62"/>
      <c r="B21" s="83" t="str">
        <f>('Portfolio Details'!B21)</f>
        <v>CB</v>
      </c>
      <c r="C21" s="88">
        <v>1.0</v>
      </c>
      <c r="D21" s="84"/>
      <c r="E21" s="84"/>
      <c r="F21" s="89">
        <f t="shared" si="9"/>
        <v>1</v>
      </c>
      <c r="G21" s="84"/>
      <c r="H21" s="84"/>
      <c r="I21" s="89">
        <f t="shared" si="10"/>
        <v>1</v>
      </c>
      <c r="J21" s="84"/>
      <c r="K21" s="84"/>
      <c r="L21" s="89">
        <f t="shared" si="11"/>
        <v>1</v>
      </c>
      <c r="M21" s="84"/>
      <c r="N21" s="84"/>
    </row>
    <row r="22">
      <c r="A22" s="62"/>
      <c r="B22" s="83" t="str">
        <f>('Portfolio Details'!B22)</f>
        <v>LOW</v>
      </c>
      <c r="C22" s="84"/>
      <c r="D22" s="88">
        <v>1.0</v>
      </c>
      <c r="E22" s="84"/>
      <c r="F22" s="84"/>
      <c r="G22" s="89">
        <f>(D22)</f>
        <v>1</v>
      </c>
      <c r="H22" s="84"/>
      <c r="I22" s="84" t="str">
        <f t="shared" si="10"/>
        <v/>
      </c>
      <c r="J22" s="86">
        <f>(D22)</f>
        <v>1</v>
      </c>
      <c r="K22" s="84"/>
      <c r="L22" s="84" t="str">
        <f t="shared" si="11"/>
        <v/>
      </c>
      <c r="M22" s="86">
        <f>(D22)</f>
        <v>1</v>
      </c>
      <c r="N22" s="84"/>
    </row>
    <row r="23">
      <c r="A23" s="62"/>
      <c r="B23" s="83" t="str">
        <f>('Portfolio Details'!B23)</f>
        <v>SYY</v>
      </c>
      <c r="C23" s="88">
        <v>1.0</v>
      </c>
      <c r="D23" s="84"/>
      <c r="E23" s="84"/>
      <c r="F23" s="89">
        <f t="shared" ref="F23:F26" si="12">(C23)</f>
        <v>1</v>
      </c>
      <c r="G23" s="84"/>
      <c r="H23" s="84"/>
      <c r="I23" s="89">
        <f t="shared" si="10"/>
        <v>1</v>
      </c>
      <c r="J23" s="84"/>
      <c r="K23" s="84"/>
      <c r="L23" s="89">
        <f t="shared" si="11"/>
        <v>1</v>
      </c>
      <c r="M23" s="84"/>
      <c r="N23" s="84"/>
    </row>
    <row r="24">
      <c r="A24" s="62"/>
      <c r="B24" s="83" t="str">
        <f>('Portfolio Details'!B24)</f>
        <v>ITW</v>
      </c>
      <c r="C24" s="88">
        <v>1.0</v>
      </c>
      <c r="D24" s="84"/>
      <c r="E24" s="84"/>
      <c r="F24" s="89">
        <f t="shared" si="12"/>
        <v>1</v>
      </c>
      <c r="G24" s="84"/>
      <c r="H24" s="84"/>
      <c r="I24" s="89">
        <f t="shared" si="10"/>
        <v>1</v>
      </c>
      <c r="J24" s="84"/>
      <c r="K24" s="84"/>
      <c r="L24" s="89">
        <f t="shared" si="11"/>
        <v>1</v>
      </c>
      <c r="M24" s="84"/>
      <c r="N24" s="84"/>
    </row>
    <row r="25">
      <c r="A25" s="62"/>
      <c r="B25" s="83" t="str">
        <f>('Portfolio Details'!B25)</f>
        <v>WMT</v>
      </c>
      <c r="C25" s="88">
        <v>1.0</v>
      </c>
      <c r="D25" s="84"/>
      <c r="E25" s="84"/>
      <c r="F25" s="89">
        <f t="shared" si="12"/>
        <v>1</v>
      </c>
      <c r="G25" s="89">
        <f>(C25)</f>
        <v>1</v>
      </c>
      <c r="H25" s="84"/>
      <c r="I25" s="84"/>
      <c r="J25" s="84"/>
      <c r="K25" s="86">
        <f>(C25)</f>
        <v>1</v>
      </c>
      <c r="L25" s="84"/>
      <c r="M25" s="84"/>
      <c r="N25" s="84"/>
    </row>
    <row r="26">
      <c r="A26" s="62"/>
      <c r="B26" s="83" t="str">
        <f>('Portfolio Details'!B26)</f>
        <v>KMB</v>
      </c>
      <c r="C26" s="88">
        <v>1.0</v>
      </c>
      <c r="D26" s="84"/>
      <c r="E26" s="84"/>
      <c r="F26" s="89">
        <f t="shared" si="12"/>
        <v>1</v>
      </c>
      <c r="G26" s="84"/>
      <c r="H26" s="84"/>
      <c r="I26" s="89">
        <f>(C26)</f>
        <v>1</v>
      </c>
      <c r="J26" s="84"/>
      <c r="K26" s="84"/>
      <c r="L26" s="89">
        <f>(C26)</f>
        <v>1</v>
      </c>
      <c r="M26" s="84"/>
      <c r="N26" s="84"/>
    </row>
    <row r="27">
      <c r="A27" s="62"/>
      <c r="B27" s="83" t="str">
        <f>('Portfolio Details'!B27)</f>
        <v>BLK</v>
      </c>
      <c r="C27" s="84"/>
      <c r="D27" s="84"/>
      <c r="E27" s="88">
        <v>1.0</v>
      </c>
      <c r="F27" s="84"/>
      <c r="G27" s="84"/>
      <c r="H27" s="89">
        <f>(E27)</f>
        <v>1</v>
      </c>
      <c r="I27" s="84"/>
      <c r="J27" s="84"/>
      <c r="K27" s="86">
        <f>(E27)</f>
        <v>1</v>
      </c>
      <c r="L27" s="84"/>
      <c r="M27" s="84"/>
      <c r="N27" s="86">
        <f>(E27)</f>
        <v>1</v>
      </c>
    </row>
    <row r="28">
      <c r="A28" s="62"/>
      <c r="B28" s="83" t="str">
        <f>('Portfolio Details'!B28)</f>
        <v>MAIN</v>
      </c>
      <c r="C28" s="92">
        <v>1.0</v>
      </c>
      <c r="D28" s="89">
        <f t="shared" ref="D28:N28" si="13">(C28)</f>
        <v>1</v>
      </c>
      <c r="E28" s="89">
        <f t="shared" si="13"/>
        <v>1</v>
      </c>
      <c r="F28" s="89">
        <f t="shared" si="13"/>
        <v>1</v>
      </c>
      <c r="G28" s="89">
        <f t="shared" si="13"/>
        <v>1</v>
      </c>
      <c r="H28" s="89">
        <f t="shared" si="13"/>
        <v>1</v>
      </c>
      <c r="I28" s="89">
        <f t="shared" si="13"/>
        <v>1</v>
      </c>
      <c r="J28" s="89">
        <f t="shared" si="13"/>
        <v>1</v>
      </c>
      <c r="K28" s="89">
        <f t="shared" si="13"/>
        <v>1</v>
      </c>
      <c r="L28" s="89">
        <f t="shared" si="13"/>
        <v>1</v>
      </c>
      <c r="M28" s="89">
        <f t="shared" si="13"/>
        <v>1</v>
      </c>
      <c r="N28" s="89">
        <f t="shared" si="13"/>
        <v>1</v>
      </c>
    </row>
    <row r="29">
      <c r="A29" s="62"/>
      <c r="B29" s="83" t="str">
        <f>('Portfolio Details'!B29)</f>
        <v>ADP</v>
      </c>
      <c r="C29" s="88">
        <v>1.0</v>
      </c>
      <c r="D29" s="84"/>
      <c r="E29" s="84"/>
      <c r="F29" s="89">
        <f>(C29)</f>
        <v>1</v>
      </c>
      <c r="G29" s="84"/>
      <c r="H29" s="84"/>
      <c r="I29" s="89">
        <f>(F29)</f>
        <v>1</v>
      </c>
      <c r="J29" s="84"/>
      <c r="K29" s="84"/>
      <c r="L29" s="86">
        <f>(F29)</f>
        <v>1</v>
      </c>
      <c r="M29" s="84"/>
      <c r="N29" s="84"/>
    </row>
    <row r="30">
      <c r="A30" s="62"/>
      <c r="B30" s="83" t="str">
        <f>('Portfolio Details'!B30)</f>
        <v>SBUX</v>
      </c>
      <c r="C30" s="84"/>
      <c r="D30" s="88">
        <v>1.0</v>
      </c>
      <c r="E30" s="84"/>
      <c r="F30" s="84"/>
      <c r="G30" s="89">
        <f>(D30)</f>
        <v>1</v>
      </c>
      <c r="H30" s="84"/>
      <c r="I30" s="84"/>
      <c r="J30" s="86">
        <f>(D30)</f>
        <v>1</v>
      </c>
      <c r="K30" s="84"/>
      <c r="L30" s="84"/>
      <c r="M30" s="86">
        <f>(D30)</f>
        <v>1</v>
      </c>
      <c r="N30" s="84"/>
    </row>
    <row r="31">
      <c r="A31" s="62"/>
      <c r="B31" s="83" t="str">
        <f>('Portfolio Details'!B31)</f>
        <v>ECL</v>
      </c>
      <c r="C31" s="88">
        <v>1.0</v>
      </c>
      <c r="D31" s="84"/>
      <c r="E31" s="84"/>
      <c r="F31" s="89">
        <f>(C31)</f>
        <v>1</v>
      </c>
      <c r="G31" s="84"/>
      <c r="H31" s="84"/>
      <c r="I31" s="86">
        <f>(C31)</f>
        <v>1</v>
      </c>
      <c r="J31" s="84"/>
      <c r="K31" s="84"/>
      <c r="L31" s="86">
        <f>(C31)</f>
        <v>1</v>
      </c>
      <c r="M31" s="84"/>
      <c r="N31" s="84"/>
    </row>
    <row r="32">
      <c r="A32" s="62"/>
      <c r="B32" s="83" t="str">
        <f>('Portfolio Details'!B32)</f>
        <v>CVX</v>
      </c>
      <c r="C32" s="84"/>
      <c r="D32" s="84"/>
      <c r="E32" s="88">
        <v>1.0</v>
      </c>
      <c r="F32" s="84"/>
      <c r="G32" s="84"/>
      <c r="H32" s="89">
        <f>(E32)</f>
        <v>1</v>
      </c>
      <c r="I32" s="84"/>
      <c r="J32" s="84"/>
      <c r="K32" s="89">
        <f>(H32)</f>
        <v>1</v>
      </c>
      <c r="L32" s="84"/>
      <c r="M32" s="84"/>
      <c r="N32" s="89">
        <f>(K32)</f>
        <v>1</v>
      </c>
    </row>
    <row r="33">
      <c r="A33" s="62"/>
      <c r="B33" s="83" t="str">
        <f>('Portfolio Details'!B33)</f>
        <v>SLB</v>
      </c>
      <c r="C33" s="88">
        <v>1.0</v>
      </c>
      <c r="D33" s="84"/>
      <c r="E33" s="84"/>
      <c r="F33" s="89">
        <f>(C33)</f>
        <v>1</v>
      </c>
      <c r="G33" s="84"/>
      <c r="H33" s="84"/>
      <c r="I33" s="89">
        <f>(F33)</f>
        <v>1</v>
      </c>
      <c r="J33" s="84"/>
      <c r="K33" s="84"/>
      <c r="L33" s="89">
        <f>(I33)</f>
        <v>1</v>
      </c>
      <c r="M33" s="84"/>
      <c r="N33" s="84"/>
    </row>
    <row r="34">
      <c r="A34" s="62"/>
      <c r="B34" s="93" t="str">
        <f>('Portfolio Details'!B34)</f>
        <v>DUK</v>
      </c>
      <c r="C34" s="84"/>
      <c r="D34" s="84"/>
      <c r="E34" s="94">
        <v>1.0</v>
      </c>
      <c r="F34" s="84"/>
      <c r="G34" s="84"/>
      <c r="H34" s="94">
        <v>1.0</v>
      </c>
      <c r="I34" s="84"/>
      <c r="J34" s="84"/>
      <c r="K34" s="94">
        <v>1.0</v>
      </c>
      <c r="L34" s="84"/>
      <c r="M34" s="84"/>
      <c r="N34" s="94">
        <v>1.0</v>
      </c>
    </row>
    <row r="35">
      <c r="A35" s="62"/>
      <c r="B35" s="83" t="str">
        <f>('Portfolio Details'!B35)</f>
        <v>AGNC</v>
      </c>
      <c r="C35" s="88">
        <v>1.0</v>
      </c>
      <c r="D35" s="89">
        <f t="shared" ref="D35:N35" si="14">(C35)</f>
        <v>1</v>
      </c>
      <c r="E35" s="89">
        <f t="shared" si="14"/>
        <v>1</v>
      </c>
      <c r="F35" s="89">
        <f t="shared" si="14"/>
        <v>1</v>
      </c>
      <c r="G35" s="89">
        <f t="shared" si="14"/>
        <v>1</v>
      </c>
      <c r="H35" s="89">
        <f t="shared" si="14"/>
        <v>1</v>
      </c>
      <c r="I35" s="89">
        <f t="shared" si="14"/>
        <v>1</v>
      </c>
      <c r="J35" s="89">
        <f t="shared" si="14"/>
        <v>1</v>
      </c>
      <c r="K35" s="89">
        <f t="shared" si="14"/>
        <v>1</v>
      </c>
      <c r="L35" s="89">
        <f t="shared" si="14"/>
        <v>1</v>
      </c>
      <c r="M35" s="89">
        <f t="shared" si="14"/>
        <v>1</v>
      </c>
      <c r="N35" s="89">
        <f t="shared" si="14"/>
        <v>1</v>
      </c>
    </row>
    <row r="36">
      <c r="A36" s="62"/>
      <c r="B36" s="83" t="str">
        <f>('Portfolio Details'!B36)</f>
        <v>STAG</v>
      </c>
      <c r="C36" s="88">
        <v>1.0</v>
      </c>
      <c r="D36" s="89">
        <f t="shared" ref="D36:N36" si="15">(C36)</f>
        <v>1</v>
      </c>
      <c r="E36" s="89">
        <f t="shared" si="15"/>
        <v>1</v>
      </c>
      <c r="F36" s="89">
        <f t="shared" si="15"/>
        <v>1</v>
      </c>
      <c r="G36" s="89">
        <f t="shared" si="15"/>
        <v>1</v>
      </c>
      <c r="H36" s="89">
        <f t="shared" si="15"/>
        <v>1</v>
      </c>
      <c r="I36" s="89">
        <f t="shared" si="15"/>
        <v>1</v>
      </c>
      <c r="J36" s="89">
        <f t="shared" si="15"/>
        <v>1</v>
      </c>
      <c r="K36" s="89">
        <f t="shared" si="15"/>
        <v>1</v>
      </c>
      <c r="L36" s="89">
        <f t="shared" si="15"/>
        <v>1</v>
      </c>
      <c r="M36" s="89">
        <f t="shared" si="15"/>
        <v>1</v>
      </c>
      <c r="N36" s="89">
        <f t="shared" si="15"/>
        <v>1</v>
      </c>
    </row>
    <row r="37">
      <c r="A37" s="62"/>
      <c r="B37" s="83" t="str">
        <f>('Portfolio Details'!B37)</f>
        <v>AFL</v>
      </c>
      <c r="C37" s="84"/>
      <c r="D37" s="84"/>
      <c r="E37" s="88">
        <v>1.0</v>
      </c>
      <c r="F37" s="84"/>
      <c r="G37" s="84"/>
      <c r="H37" s="88">
        <v>1.0</v>
      </c>
      <c r="I37" s="84"/>
      <c r="J37" s="84"/>
      <c r="K37" s="88">
        <v>1.0</v>
      </c>
      <c r="L37" s="84"/>
      <c r="M37" s="84"/>
      <c r="N37" s="89">
        <f t="shared" ref="N37:N38" si="16">(K37)</f>
        <v>1</v>
      </c>
    </row>
    <row r="38">
      <c r="A38" s="62"/>
      <c r="B38" s="83" t="str">
        <f>('Portfolio Details'!B38)</f>
        <v>PPG</v>
      </c>
      <c r="C38" s="84"/>
      <c r="D38" s="84"/>
      <c r="E38" s="92">
        <v>1.0</v>
      </c>
      <c r="F38" s="84"/>
      <c r="G38" s="84"/>
      <c r="H38" s="89">
        <f>(E38)</f>
        <v>1</v>
      </c>
      <c r="I38" s="84"/>
      <c r="J38" s="84"/>
      <c r="K38" s="89">
        <f>(H38)</f>
        <v>1</v>
      </c>
      <c r="L38" s="84"/>
      <c r="M38" s="84"/>
      <c r="N38" s="89">
        <f t="shared" si="16"/>
        <v>1</v>
      </c>
    </row>
    <row r="39">
      <c r="A39" s="62"/>
      <c r="B39" s="83" t="str">
        <f>('Portfolio Details'!B39)</f>
        <v>PNR</v>
      </c>
      <c r="C39" s="84"/>
      <c r="D39" s="88">
        <v>1.0</v>
      </c>
      <c r="E39" s="84"/>
      <c r="F39" s="84"/>
      <c r="G39" s="89">
        <f t="shared" ref="G39:G40" si="17">(D39)</f>
        <v>1</v>
      </c>
      <c r="H39" s="84"/>
      <c r="I39" s="84"/>
      <c r="J39" s="86">
        <f t="shared" ref="J39:J40" si="18">(D39)</f>
        <v>1</v>
      </c>
      <c r="K39" s="84"/>
      <c r="L39" s="84"/>
      <c r="M39" s="86">
        <f t="shared" ref="M39:M40" si="19">(D39)</f>
        <v>1</v>
      </c>
      <c r="N39" s="84"/>
    </row>
    <row r="40">
      <c r="A40" s="62"/>
      <c r="B40" s="83" t="str">
        <f>('Portfolio Details'!B40)</f>
        <v>NUE</v>
      </c>
      <c r="C40" s="84"/>
      <c r="D40" s="88">
        <v>1.0</v>
      </c>
      <c r="E40" s="84"/>
      <c r="F40" s="84"/>
      <c r="G40" s="89">
        <f t="shared" si="17"/>
        <v>1</v>
      </c>
      <c r="H40" s="84"/>
      <c r="I40" s="84"/>
      <c r="J40" s="86">
        <f t="shared" si="18"/>
        <v>1</v>
      </c>
      <c r="K40" s="84"/>
      <c r="L40" s="84"/>
      <c r="M40" s="86">
        <f t="shared" si="19"/>
        <v>1</v>
      </c>
      <c r="N40" s="84"/>
    </row>
    <row r="41">
      <c r="A41" s="62"/>
      <c r="B41" s="83" t="str">
        <f>('Portfolio Details'!B41)</f>
        <v>EMR</v>
      </c>
      <c r="C41" s="84"/>
      <c r="D41" s="84"/>
      <c r="E41" s="88">
        <v>1.0</v>
      </c>
      <c r="F41" s="84"/>
      <c r="G41" s="84"/>
      <c r="H41" s="89">
        <f>(E41)</f>
        <v>1</v>
      </c>
      <c r="I41" s="84"/>
      <c r="J41" s="84"/>
      <c r="K41" s="89">
        <f>(H41)</f>
        <v>1</v>
      </c>
      <c r="L41" s="84"/>
      <c r="M41" s="84"/>
      <c r="N41" s="89">
        <f>(K41)</f>
        <v>1</v>
      </c>
    </row>
    <row r="42">
      <c r="A42" s="62"/>
      <c r="B42" s="83" t="str">
        <f>('Portfolio Details'!B42)</f>
        <v>C</v>
      </c>
      <c r="C42" s="84"/>
      <c r="D42" s="88">
        <v>1.0</v>
      </c>
      <c r="E42" s="84"/>
      <c r="F42" s="84"/>
      <c r="G42" s="89">
        <f>(D42)</f>
        <v>1</v>
      </c>
      <c r="H42" s="84"/>
      <c r="I42" s="84"/>
      <c r="J42" s="89">
        <f>(G42)</f>
        <v>1</v>
      </c>
      <c r="K42" s="84"/>
      <c r="L42" s="84"/>
      <c r="M42" s="89">
        <f>(J42)</f>
        <v>1</v>
      </c>
      <c r="N42" s="84"/>
    </row>
    <row r="43">
      <c r="A43" s="62"/>
      <c r="B43" s="83" t="str">
        <f>('Portfolio Details'!B43)</f>
        <v>TROW</v>
      </c>
      <c r="C43" s="84"/>
      <c r="D43" s="84"/>
      <c r="E43" s="88">
        <v>1.0</v>
      </c>
      <c r="F43" s="84"/>
      <c r="G43" s="84"/>
      <c r="H43" s="89">
        <f>(E43)</f>
        <v>1</v>
      </c>
      <c r="I43" s="84"/>
      <c r="J43" s="84"/>
      <c r="K43" s="89">
        <f>(H43)</f>
        <v>1</v>
      </c>
      <c r="L43" s="84"/>
      <c r="M43" s="84"/>
      <c r="N43" s="89">
        <f>(K43)</f>
        <v>1</v>
      </c>
    </row>
    <row r="44">
      <c r="A44" s="62"/>
      <c r="B44" s="83" t="str">
        <f>('Portfolio Details'!B44)</f>
        <v>RGLD</v>
      </c>
      <c r="C44" s="88">
        <v>1.0</v>
      </c>
      <c r="D44" s="84"/>
      <c r="E44" s="84"/>
      <c r="F44" s="89">
        <f t="shared" ref="F44:F46" si="20">(C44)</f>
        <v>1</v>
      </c>
      <c r="G44" s="84"/>
      <c r="H44" s="84"/>
      <c r="I44" s="89">
        <f t="shared" ref="I44:I46" si="21">(F44)</f>
        <v>1</v>
      </c>
      <c r="J44" s="84"/>
      <c r="K44" s="84"/>
      <c r="L44" s="89">
        <f t="shared" ref="L44:L46" si="22">(I44)</f>
        <v>1</v>
      </c>
      <c r="M44" s="84"/>
      <c r="N44" s="84"/>
    </row>
    <row r="45">
      <c r="A45" s="62"/>
      <c r="B45" s="83" t="str">
        <f>('Portfolio Details'!B45)</f>
        <v>TD</v>
      </c>
      <c r="C45" s="88">
        <v>1.0</v>
      </c>
      <c r="D45" s="84"/>
      <c r="E45" s="84"/>
      <c r="F45" s="89">
        <f t="shared" si="20"/>
        <v>1</v>
      </c>
      <c r="G45" s="84"/>
      <c r="H45" s="84"/>
      <c r="I45" s="89">
        <f t="shared" si="21"/>
        <v>1</v>
      </c>
      <c r="J45" s="84"/>
      <c r="K45" s="84"/>
      <c r="L45" s="89">
        <f t="shared" si="22"/>
        <v>1</v>
      </c>
      <c r="M45" s="84"/>
      <c r="N45" s="84"/>
    </row>
    <row r="46">
      <c r="A46" s="62"/>
      <c r="B46" s="83" t="str">
        <f>('Portfolio Details'!B46)</f>
        <v>CSCO</v>
      </c>
      <c r="C46" s="88">
        <v>1.0</v>
      </c>
      <c r="D46" s="84"/>
      <c r="E46" s="84"/>
      <c r="F46" s="89">
        <f t="shared" si="20"/>
        <v>1</v>
      </c>
      <c r="G46" s="84"/>
      <c r="H46" s="84"/>
      <c r="I46" s="89">
        <f t="shared" si="21"/>
        <v>1</v>
      </c>
      <c r="J46" s="84"/>
      <c r="K46" s="84"/>
      <c r="L46" s="89">
        <f t="shared" si="22"/>
        <v>1</v>
      </c>
      <c r="M46" s="84"/>
      <c r="N46" s="84"/>
    </row>
    <row r="47">
      <c r="A47" s="62"/>
      <c r="B47" s="83" t="str">
        <f>('Portfolio Details'!B47)</f>
        <v>BMY</v>
      </c>
      <c r="C47" s="84"/>
      <c r="D47" s="88">
        <v>1.0</v>
      </c>
      <c r="E47" s="84"/>
      <c r="F47" s="84"/>
      <c r="G47" s="89">
        <f>(D47)</f>
        <v>1</v>
      </c>
      <c r="H47" s="84"/>
      <c r="I47" s="84"/>
      <c r="J47" s="95">
        <f>(D47)</f>
        <v>1</v>
      </c>
      <c r="K47" s="84"/>
      <c r="L47" s="84"/>
      <c r="M47" s="95">
        <f>(D47)</f>
        <v>1</v>
      </c>
      <c r="N47" s="84"/>
    </row>
    <row r="48">
      <c r="A48" s="62"/>
      <c r="B48" s="83" t="str">
        <f>('Portfolio Details'!B48)</f>
        <v>GOOD</v>
      </c>
      <c r="C48" s="88">
        <v>1.0</v>
      </c>
      <c r="D48" s="89">
        <f t="shared" ref="D48:N48" si="23">(C48)</f>
        <v>1</v>
      </c>
      <c r="E48" s="89">
        <f t="shared" si="23"/>
        <v>1</v>
      </c>
      <c r="F48" s="89">
        <f t="shared" si="23"/>
        <v>1</v>
      </c>
      <c r="G48" s="89">
        <f t="shared" si="23"/>
        <v>1</v>
      </c>
      <c r="H48" s="89">
        <f t="shared" si="23"/>
        <v>1</v>
      </c>
      <c r="I48" s="89">
        <f t="shared" si="23"/>
        <v>1</v>
      </c>
      <c r="J48" s="89">
        <f t="shared" si="23"/>
        <v>1</v>
      </c>
      <c r="K48" s="89">
        <f t="shared" si="23"/>
        <v>1</v>
      </c>
      <c r="L48" s="89">
        <f t="shared" si="23"/>
        <v>1</v>
      </c>
      <c r="M48" s="89">
        <f t="shared" si="23"/>
        <v>1</v>
      </c>
      <c r="N48" s="89">
        <f t="shared" si="23"/>
        <v>1</v>
      </c>
    </row>
    <row r="49">
      <c r="A49" s="62"/>
      <c r="B49" s="83" t="str">
        <f>('Portfolio Details'!B49)</f>
        <v>GWW</v>
      </c>
      <c r="C49" s="84"/>
      <c r="D49" s="84"/>
      <c r="E49" s="88">
        <v>1.0</v>
      </c>
      <c r="F49" s="84"/>
      <c r="G49" s="84"/>
      <c r="H49" s="89">
        <f>(E49)</f>
        <v>1</v>
      </c>
      <c r="I49" s="84"/>
      <c r="J49" s="84"/>
      <c r="K49" s="89">
        <f>(H49)</f>
        <v>1</v>
      </c>
      <c r="L49" s="84"/>
      <c r="M49" s="84"/>
      <c r="N49" s="89">
        <f>(K49)</f>
        <v>1</v>
      </c>
    </row>
    <row r="50">
      <c r="A50" s="62"/>
      <c r="B50" s="83" t="str">
        <f>('Portfolio Details'!B50)</f>
        <v>ADC</v>
      </c>
      <c r="C50" s="88">
        <v>1.0</v>
      </c>
      <c r="D50" s="89">
        <f t="shared" ref="D50:N50" si="24">(C50)</f>
        <v>1</v>
      </c>
      <c r="E50" s="89">
        <f t="shared" si="24"/>
        <v>1</v>
      </c>
      <c r="F50" s="89">
        <f t="shared" si="24"/>
        <v>1</v>
      </c>
      <c r="G50" s="89">
        <f t="shared" si="24"/>
        <v>1</v>
      </c>
      <c r="H50" s="89">
        <f t="shared" si="24"/>
        <v>1</v>
      </c>
      <c r="I50" s="89">
        <f t="shared" si="24"/>
        <v>1</v>
      </c>
      <c r="J50" s="89">
        <f t="shared" si="24"/>
        <v>1</v>
      </c>
      <c r="K50" s="89">
        <f t="shared" si="24"/>
        <v>1</v>
      </c>
      <c r="L50" s="89">
        <f t="shared" si="24"/>
        <v>1</v>
      </c>
      <c r="M50" s="89">
        <f t="shared" si="24"/>
        <v>1</v>
      </c>
      <c r="N50" s="89">
        <f t="shared" si="24"/>
        <v>1</v>
      </c>
    </row>
    <row r="51">
      <c r="A51" s="62"/>
      <c r="B51" s="83" t="str">
        <f>('Portfolio Details'!B51)</f>
        <v>ROP</v>
      </c>
      <c r="C51" s="88">
        <v>1.0</v>
      </c>
      <c r="D51" s="84"/>
      <c r="E51" s="84"/>
      <c r="F51" s="89">
        <f>(C51)</f>
        <v>1</v>
      </c>
      <c r="G51" s="84"/>
      <c r="H51" s="84"/>
      <c r="I51" s="89">
        <f>(F51)</f>
        <v>1</v>
      </c>
      <c r="J51" s="84"/>
      <c r="K51" s="84"/>
      <c r="L51" s="89">
        <f>(I51)</f>
        <v>1</v>
      </c>
      <c r="M51" s="84"/>
      <c r="N51" s="84"/>
    </row>
    <row r="52">
      <c r="A52" s="62"/>
      <c r="B52" s="83" t="str">
        <f>('Portfolio Details'!B52)</f>
        <v>SHW</v>
      </c>
      <c r="C52" s="84"/>
      <c r="D52" s="84"/>
      <c r="E52" s="88">
        <v>1.0</v>
      </c>
      <c r="F52" s="84"/>
      <c r="G52" s="84"/>
      <c r="H52" s="89">
        <f>(E52)</f>
        <v>1</v>
      </c>
      <c r="I52" s="84"/>
      <c r="J52" s="84"/>
      <c r="K52" s="89">
        <f>(H52)</f>
        <v>1</v>
      </c>
      <c r="L52" s="84"/>
      <c r="M52" s="84"/>
      <c r="N52" s="89">
        <f>(K52)</f>
        <v>1</v>
      </c>
    </row>
  </sheetData>
  <drawing r:id="rId1"/>
</worksheet>
</file>